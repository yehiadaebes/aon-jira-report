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ts" sheetId="1" state="visible" r:id="rId1"/>
    <sheet xmlns:r="http://schemas.openxmlformats.org/officeDocument/2006/relationships" name="Client Summary" sheetId="2" state="visible" r:id="rId2"/>
    <sheet xmlns:r="http://schemas.openxmlformats.org/officeDocument/2006/relationships" name="Badlands" sheetId="3" state="visible" r:id="rId3"/>
    <sheet xmlns:r="http://schemas.openxmlformats.org/officeDocument/2006/relationships" name="Beach" sheetId="4" state="visible" r:id="rId4"/>
    <sheet xmlns:r="http://schemas.openxmlformats.org/officeDocument/2006/relationships" name="Desert" sheetId="5" state="visible" r:id="rId5"/>
    <sheet xmlns:r="http://schemas.openxmlformats.org/officeDocument/2006/relationships" name="Downtown" sheetId="6" state="visible" r:id="rId6"/>
    <sheet xmlns:r="http://schemas.openxmlformats.org/officeDocument/2006/relationships" name="Las Venturas" sheetId="7" state="visible" r:id="rId7"/>
    <sheet xmlns:r="http://schemas.openxmlformats.org/officeDocument/2006/relationships" name="Los Santos" sheetId="8" state="visible" r:id="rId8"/>
    <sheet xmlns:r="http://schemas.openxmlformats.org/officeDocument/2006/relationships" name="Portland" sheetId="9" state="visible" r:id="rId9"/>
    <sheet xmlns:r="http://schemas.openxmlformats.org/officeDocument/2006/relationships" name="San Fierro" sheetId="10" state="visible" r:id="rId10"/>
    <sheet xmlns:r="http://schemas.openxmlformats.org/officeDocument/2006/relationships" name="Shoreside" sheetId="11" state="visible" r:id="rId11"/>
    <sheet xmlns:r="http://schemas.openxmlformats.org/officeDocument/2006/relationships" name="Starfish" sheetId="12" state="visible" r:id="rId12"/>
    <sheet xmlns:r="http://schemas.openxmlformats.org/officeDocument/2006/relationships" name="Staunt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sz val="20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3" fillId="0" borderId="0" pivotButton="0" quotePrefix="0" xfId="0"/>
    <xf numFmtId="2" fontId="0" fillId="0" borderId="0" applyAlignment="1" pivotButton="0" quotePrefix="0" xfId="0">
      <alignment horizontal="right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FFF"/>
          <bgColor rgb="00FFFFFF"/>
        </patternFill>
      </fill>
    </dxf>
    <dxf>
      <fill>
        <patternFill patternType="solid">
          <fgColor rgb="00FFCC00"/>
          <bgColor rgb="00FFCC00"/>
        </patternFill>
      </fill>
    </dxf>
    <dxf>
      <fill>
        <patternFill patternType="solid">
          <fgColor rgb="00EE1111"/>
          <bgColor rgb="00EE111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able1" displayName="Table1" ref="A1:M148" headerRowCount="1">
  <autoFilter ref="A1:M148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I14" headerRowCount="1">
  <autoFilter ref="A3:I14"/>
  <tableColumns count="9">
    <tableColumn id="1" name="Client"/>
    <tableColumn id="2" name="&gt;0"/>
    <tableColumn id="3" name="&gt;30"/>
    <tableColumn id="4" name="&gt;60"/>
    <tableColumn id="5" name="&gt;90"/>
    <tableColumn id="6" name="&gt;120"/>
    <tableColumn id="7" name="&gt;150"/>
    <tableColumn id="8" name="&gt;180"/>
    <tableColumn id="9" name="Avg."/>
  </tableColumns>
  <tableStyleInfo name="TableStyleMedium1" showFirstColumn="0" showLastColumn="0" showRowStripes="1" showColumnStripes="1"/>
</table>
</file>

<file path=xl/tables/table3.xml><?xml version="1.0" encoding="utf-8"?>
<table xmlns="http://schemas.openxmlformats.org/spreadsheetml/2006/main" id="3" name="Table2.1" displayName="Table2.1" ref="K3:O14" headerRowCount="1">
  <autoFilter ref="K3:O14"/>
  <tableColumns count="5">
    <tableColumn id="11" name="Priority"/>
    <tableColumn id="12" name="Low"/>
    <tableColumn id="13" name="Medium"/>
    <tableColumn id="14" name="High"/>
    <tableColumn id="15" name="Blocker"/>
  </tableColumns>
  <tableStyleInfo name="TableStyleMedium1" showFirstColumn="0" showLastColumn="0" showRowStripes="1" showColumnStripes="1"/>
</table>
</file>

<file path=xl/tables/table4.xml><?xml version="1.0" encoding="utf-8"?>
<table xmlns="http://schemas.openxmlformats.org/spreadsheetml/2006/main" id="4" name="Table4" displayName="Table4" ref="A1:M14" headerRowCount="1">
  <autoFilter ref="A1:M14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13" headerRowCount="1">
  <autoFilter ref="A1:M13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M3" headerRowCount="1">
  <autoFilter ref="A1:M3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5" headerRowCount="1">
  <autoFilter ref="A1:M5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M11" headerRowCount="1">
  <autoFilter ref="A1:M11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32" headerRowCount="1">
  <autoFilter ref="A1:M32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M22" headerRowCount="1">
  <autoFilter ref="A1:M22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M18" headerRowCount="1">
  <autoFilter ref="A1:M18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M3" headerRowCount="1">
  <autoFilter ref="A1:M3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M10" headerRowCount="1">
  <autoFilter ref="A1:M10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M27" headerRowCount="1">
  <autoFilter ref="A1:M27"/>
  <tableColumns count="13">
    <tableColumn id="1" name="Entry"/>
    <tableColumn id="2" name="Ticket Name"/>
    <tableColumn id="3" name="Issue Key"/>
    <tableColumn id="4" name="Status"/>
    <tableColumn id="5" name="Priority"/>
    <tableColumn id="6" name="Resolution"/>
    <tableColumn id="7" name="Assignee"/>
    <tableColumn id="8" name="Reporter"/>
    <tableColumn id="9" name="Created"/>
    <tableColumn id="10" name="Age"/>
    <tableColumn id="11" name="Resolved"/>
    <tableColumn id="12" name="Client"/>
    <tableColumn id="13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tabColor rgb="00FFFF00"/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1</v>
      </c>
      <c r="B2" t="inlineStr">
        <is>
          <t>Give Me Liberty</t>
        </is>
      </c>
      <c r="C2" t="inlineStr">
        <is>
          <t>GTA-4827</t>
        </is>
      </c>
      <c r="D2" t="inlineStr">
        <is>
          <t>In Progress</t>
        </is>
      </c>
      <c r="E2" t="inlineStr">
        <is>
          <t>High</t>
        </is>
      </c>
      <c r="F2" t="inlineStr"/>
      <c r="G2" t="inlineStr">
        <is>
          <t>Claude Speed</t>
        </is>
      </c>
      <c r="H2" t="inlineStr">
        <is>
          <t>8 Ball</t>
        </is>
      </c>
      <c r="I2" s="1" t="n">
        <v>45849.92569444444</v>
      </c>
      <c r="J2" t="n">
        <v>172</v>
      </c>
      <c r="K2" t="inlineStr">
        <is>
          <t xml:space="preserve"> </t>
        </is>
      </c>
      <c r="L2" t="inlineStr">
        <is>
          <t>Portland</t>
        </is>
      </c>
      <c r="M2" s="2">
        <f>HYPERLINK("https://tychesoftware.atlassian.net/browse/GTA-4827", "Go to")</f>
        <v/>
      </c>
    </row>
    <row r="3">
      <c r="A3" t="n">
        <v>2</v>
      </c>
      <c r="B3" t="inlineStr">
        <is>
          <t>Luigi's Girls</t>
        </is>
      </c>
      <c r="C3" t="inlineStr">
        <is>
          <t>GTA-1934</t>
        </is>
      </c>
      <c r="D3" t="inlineStr">
        <is>
          <t>To Do</t>
        </is>
      </c>
      <c r="E3" t="inlineStr">
        <is>
          <t>High</t>
        </is>
      </c>
      <c r="F3" t="inlineStr"/>
      <c r="G3" t="inlineStr">
        <is>
          <t>Claude Speed</t>
        </is>
      </c>
      <c r="H3" t="inlineStr">
        <is>
          <t>Luigi</t>
        </is>
      </c>
      <c r="I3" s="1" t="n">
        <v>45862.41458333333</v>
      </c>
      <c r="J3" t="n">
        <v>160</v>
      </c>
      <c r="K3" t="inlineStr">
        <is>
          <t xml:space="preserve"> </t>
        </is>
      </c>
      <c r="L3" t="inlineStr">
        <is>
          <t>Portland</t>
        </is>
      </c>
      <c r="M3" s="2">
        <f>HYPERLINK("https://tychesoftware.atlassian.net/browse/GTA-1934", "Go to")</f>
        <v/>
      </c>
    </row>
    <row r="4">
      <c r="A4" t="n">
        <v>3</v>
      </c>
      <c r="B4" t="inlineStr">
        <is>
          <t>DSMBU</t>
        </is>
      </c>
      <c r="C4" t="inlineStr">
        <is>
          <t>GTA-7601</t>
        </is>
      </c>
      <c r="D4" t="inlineStr">
        <is>
          <t>Closed</t>
        </is>
      </c>
      <c r="E4" t="inlineStr">
        <is>
          <t>Blocker</t>
        </is>
      </c>
      <c r="F4" t="inlineStr">
        <is>
          <t>Done</t>
        </is>
      </c>
      <c r="G4" t="inlineStr">
        <is>
          <t>Claude Speed</t>
        </is>
      </c>
      <c r="H4" t="inlineStr">
        <is>
          <t>Luigi</t>
        </is>
      </c>
      <c r="I4" s="1" t="n">
        <v>45873.69722222222</v>
      </c>
      <c r="J4" t="n">
        <v>148</v>
      </c>
      <c r="K4" s="1" t="n">
        <v>45946.28472222222</v>
      </c>
      <c r="L4" t="inlineStr">
        <is>
          <t>Portland</t>
        </is>
      </c>
      <c r="M4" s="2">
        <f>HYPERLINK("https://tychesoftware.atlassian.net/browse/GTA-7601", "Go to")</f>
        <v/>
      </c>
    </row>
    <row r="5">
      <c r="A5" t="n">
        <v>4</v>
      </c>
      <c r="B5" t="inlineStr">
        <is>
          <t>Drive Misty For Me</t>
        </is>
      </c>
      <c r="C5" t="inlineStr">
        <is>
          <t>GTA-5298</t>
        </is>
      </c>
      <c r="D5" t="inlineStr">
        <is>
          <t>Validation</t>
        </is>
      </c>
      <c r="E5" t="inlineStr">
        <is>
          <t>Medium</t>
        </is>
      </c>
      <c r="F5" t="inlineStr"/>
      <c r="G5" t="inlineStr">
        <is>
          <t>Claude Speed</t>
        </is>
      </c>
      <c r="H5" t="inlineStr">
        <is>
          <t>Luigi</t>
        </is>
      </c>
      <c r="I5" s="1" t="n">
        <v>45890.35138888889</v>
      </c>
      <c r="J5" t="n">
        <v>132</v>
      </c>
      <c r="K5" t="inlineStr">
        <is>
          <t xml:space="preserve"> </t>
        </is>
      </c>
      <c r="L5" t="inlineStr">
        <is>
          <t>Portland</t>
        </is>
      </c>
      <c r="M5" s="2">
        <f>HYPERLINK("https://tychesoftware.atlassian.net/browse/GTA-5298", "Go to")</f>
        <v/>
      </c>
    </row>
    <row r="6">
      <c r="A6" t="n">
        <v>5</v>
      </c>
      <c r="B6" t="inlineStr">
        <is>
          <t>Pump-Action Pimp</t>
        </is>
      </c>
      <c r="C6" t="inlineStr">
        <is>
          <t>GTA-0417</t>
        </is>
      </c>
      <c r="D6" t="inlineStr">
        <is>
          <t>To Do</t>
        </is>
      </c>
      <c r="E6" t="inlineStr">
        <is>
          <t>Medium</t>
        </is>
      </c>
      <c r="F6" t="inlineStr"/>
      <c r="G6" t="inlineStr">
        <is>
          <t>Claude Speed</t>
        </is>
      </c>
      <c r="H6" t="inlineStr">
        <is>
          <t>Luigi</t>
        </is>
      </c>
      <c r="I6" s="1" t="n">
        <v>45917.48263888889</v>
      </c>
      <c r="J6" t="n">
        <v>105</v>
      </c>
      <c r="K6" t="inlineStr">
        <is>
          <t xml:space="preserve"> </t>
        </is>
      </c>
      <c r="L6" t="inlineStr">
        <is>
          <t>Portland</t>
        </is>
      </c>
      <c r="M6" s="2">
        <f>HYPERLINK("https://tychesoftware.atlassian.net/browse/GTA-0417", "Go to")</f>
        <v/>
      </c>
    </row>
    <row r="7">
      <c r="A7" t="n">
        <v>6</v>
      </c>
      <c r="B7" t="inlineStr">
        <is>
          <t>Fuzz Ball</t>
        </is>
      </c>
      <c r="C7" t="inlineStr">
        <is>
          <t>GTA-8842</t>
        </is>
      </c>
      <c r="D7" t="inlineStr">
        <is>
          <t>Closed</t>
        </is>
      </c>
      <c r="E7" t="inlineStr">
        <is>
          <t>Medium</t>
        </is>
      </c>
      <c r="F7" t="inlineStr">
        <is>
          <t>Done</t>
        </is>
      </c>
      <c r="G7" t="inlineStr">
        <is>
          <t>Claude Speed</t>
        </is>
      </c>
      <c r="H7" t="inlineStr">
        <is>
          <t>Luigi</t>
        </is>
      </c>
      <c r="I7" s="1" t="n">
        <v>45894.61805555555</v>
      </c>
      <c r="J7" t="n">
        <v>127</v>
      </c>
      <c r="K7" s="1" t="n">
        <v>45949.57986111111</v>
      </c>
      <c r="L7" t="inlineStr">
        <is>
          <t>Portland</t>
        </is>
      </c>
      <c r="M7" s="2">
        <f>HYPERLINK("https://tychesoftware.atlassian.net/browse/GTA-8842", "Go to")</f>
        <v/>
      </c>
    </row>
    <row r="8">
      <c r="A8" t="n">
        <v>7</v>
      </c>
      <c r="B8" t="inlineStr">
        <is>
          <t>Mike Lips Last Lunch</t>
        </is>
      </c>
      <c r="C8" t="inlineStr">
        <is>
          <t>GTA-3169</t>
        </is>
      </c>
      <c r="D8" t="inlineStr">
        <is>
          <t>Validation</t>
        </is>
      </c>
      <c r="E8" t="inlineStr">
        <is>
          <t>Blocker</t>
        </is>
      </c>
      <c r="F8" t="inlineStr"/>
      <c r="G8" t="inlineStr">
        <is>
          <t>Claude Speed</t>
        </is>
      </c>
      <c r="H8" t="inlineStr">
        <is>
          <t>Joey</t>
        </is>
      </c>
      <c r="I8" s="1" t="n">
        <v>45944.04305555556</v>
      </c>
      <c r="J8" t="n">
        <v>78</v>
      </c>
      <c r="K8" t="inlineStr">
        <is>
          <t xml:space="preserve"> </t>
        </is>
      </c>
      <c r="L8" t="inlineStr">
        <is>
          <t>Portland</t>
        </is>
      </c>
      <c r="M8" s="2">
        <f>HYPERLINK("https://tychesoftware.atlassian.net/browse/GTA-3169", "Go to")</f>
        <v/>
      </c>
    </row>
    <row r="9">
      <c r="A9" t="n">
        <v>8</v>
      </c>
      <c r="B9" t="inlineStr">
        <is>
          <t>Farewell 'Chunky' Lee Chong</t>
        </is>
      </c>
      <c r="C9" t="inlineStr">
        <is>
          <t>GTA-9573</t>
        </is>
      </c>
      <c r="D9" t="inlineStr">
        <is>
          <t>In Progress</t>
        </is>
      </c>
      <c r="E9" t="inlineStr">
        <is>
          <t>Medium</t>
        </is>
      </c>
      <c r="F9" t="inlineStr"/>
      <c r="G9" t="inlineStr">
        <is>
          <t>Claude Speed</t>
        </is>
      </c>
      <c r="H9" t="inlineStr">
        <is>
          <t>Joey</t>
        </is>
      </c>
      <c r="I9" s="1" t="n">
        <v>45896.86180555556</v>
      </c>
      <c r="J9" t="n">
        <v>125</v>
      </c>
      <c r="K9" t="inlineStr">
        <is>
          <t xml:space="preserve"> </t>
        </is>
      </c>
      <c r="L9" t="inlineStr">
        <is>
          <t>Portland</t>
        </is>
      </c>
      <c r="M9" s="2">
        <f>HYPERLINK("https://tychesoftware.atlassian.net/browse/GTA-9573", "Go to")</f>
        <v/>
      </c>
    </row>
    <row r="10">
      <c r="A10" t="n">
        <v>9</v>
      </c>
      <c r="B10" t="inlineStr">
        <is>
          <t>Van Heist</t>
        </is>
      </c>
      <c r="C10" t="inlineStr">
        <is>
          <t>GTA-6084</t>
        </is>
      </c>
      <c r="D10" t="inlineStr">
        <is>
          <t>Closed</t>
        </is>
      </c>
      <c r="E10" t="inlineStr">
        <is>
          <t>Medium</t>
        </is>
      </c>
      <c r="F10" t="inlineStr">
        <is>
          <t>Done</t>
        </is>
      </c>
      <c r="G10" t="inlineStr">
        <is>
          <t>Claude Speed</t>
        </is>
      </c>
      <c r="H10" t="inlineStr">
        <is>
          <t>Joey</t>
        </is>
      </c>
      <c r="I10" s="1" t="n">
        <v>45920.80138888889</v>
      </c>
      <c r="J10" t="n">
        <v>101</v>
      </c>
      <c r="K10" s="1" t="n">
        <v>45952.72916666666</v>
      </c>
      <c r="L10" t="inlineStr">
        <is>
          <t>Portland</t>
        </is>
      </c>
      <c r="M10" s="2">
        <f>HYPERLINK("https://tychesoftware.atlassian.net/browse/GTA-6084", "Go to")</f>
        <v/>
      </c>
    </row>
    <row r="11">
      <c r="A11" t="n">
        <v>10</v>
      </c>
      <c r="B11" t="inlineStr">
        <is>
          <t>Cipriani's Chauffeur</t>
        </is>
      </c>
      <c r="C11" t="inlineStr">
        <is>
          <t>GTA-2741</t>
        </is>
      </c>
      <c r="D11" t="inlineStr">
        <is>
          <t>To Do</t>
        </is>
      </c>
      <c r="E11" t="inlineStr">
        <is>
          <t>Blocker</t>
        </is>
      </c>
      <c r="F11" t="inlineStr"/>
      <c r="G11" t="inlineStr">
        <is>
          <t>Claude Speed</t>
        </is>
      </c>
      <c r="H11" t="inlineStr">
        <is>
          <t>Joey</t>
        </is>
      </c>
      <c r="I11" s="1" t="n">
        <v>45869.28263888889</v>
      </c>
      <c r="J11" t="n">
        <v>153</v>
      </c>
      <c r="K11" t="inlineStr">
        <is>
          <t xml:space="preserve"> </t>
        </is>
      </c>
      <c r="L11" t="inlineStr">
        <is>
          <t>Portland</t>
        </is>
      </c>
      <c r="M11" s="2">
        <f>HYPERLINK("https://tychesoftware.atlassian.net/browse/GTA-2741", "Go to")</f>
        <v/>
      </c>
    </row>
    <row r="12">
      <c r="A12" t="n">
        <v>11</v>
      </c>
      <c r="B12" t="inlineStr">
        <is>
          <t>Dead Skunk in the Trunk</t>
        </is>
      </c>
      <c r="C12" t="inlineStr">
        <is>
          <t>GTA-7316</t>
        </is>
      </c>
      <c r="D12" t="inlineStr">
        <is>
          <t>Validation</t>
        </is>
      </c>
      <c r="E12" t="inlineStr">
        <is>
          <t>Medium</t>
        </is>
      </c>
      <c r="F12" t="inlineStr"/>
      <c r="G12" t="inlineStr">
        <is>
          <t>Claude Speed</t>
        </is>
      </c>
      <c r="H12" t="inlineStr">
        <is>
          <t>Joey</t>
        </is>
      </c>
      <c r="I12" s="1" t="n">
        <v>45983.52638888889</v>
      </c>
      <c r="J12" t="n">
        <v>39</v>
      </c>
      <c r="K12" t="inlineStr">
        <is>
          <t xml:space="preserve"> </t>
        </is>
      </c>
      <c r="L12" t="inlineStr">
        <is>
          <t>Portland</t>
        </is>
      </c>
      <c r="M12" s="2">
        <f>HYPERLINK("https://tychesoftware.atlassian.net/browse/GTA-7316", "Go to")</f>
        <v/>
      </c>
    </row>
    <row r="13">
      <c r="A13" t="n">
        <v>12</v>
      </c>
      <c r="B13" t="inlineStr">
        <is>
          <t>The Getaway</t>
        </is>
      </c>
      <c r="C13" t="inlineStr">
        <is>
          <t>GTA-1986</t>
        </is>
      </c>
      <c r="D13" t="inlineStr">
        <is>
          <t>Closed</t>
        </is>
      </c>
      <c r="E13" t="inlineStr">
        <is>
          <t>High</t>
        </is>
      </c>
      <c r="F13" t="inlineStr">
        <is>
          <t>Done</t>
        </is>
      </c>
      <c r="G13" t="inlineStr">
        <is>
          <t>Claude Speed</t>
        </is>
      </c>
      <c r="H13" t="inlineStr">
        <is>
          <t>Joey</t>
        </is>
      </c>
      <c r="I13" s="1" t="n">
        <v>45899.64027777778</v>
      </c>
      <c r="J13" t="n">
        <v>122</v>
      </c>
      <c r="K13" s="1" t="n">
        <v>45955.93611111111</v>
      </c>
      <c r="L13" t="inlineStr">
        <is>
          <t>Portland</t>
        </is>
      </c>
      <c r="M13" s="2">
        <f>HYPERLINK("https://tychesoftware.atlassian.net/browse/GTA-1986", "Go to")</f>
        <v/>
      </c>
    </row>
    <row r="14">
      <c r="A14" t="n">
        <v>13</v>
      </c>
      <c r="B14" t="inlineStr">
        <is>
          <t>Taking Out the Laundry</t>
        </is>
      </c>
      <c r="C14" t="inlineStr">
        <is>
          <t>GTA-8450</t>
        </is>
      </c>
      <c r="D14" t="inlineStr">
        <is>
          <t>To Do</t>
        </is>
      </c>
      <c r="E14" t="inlineStr">
        <is>
          <t>Medium</t>
        </is>
      </c>
      <c r="F14" t="inlineStr"/>
      <c r="G14" t="inlineStr">
        <is>
          <t>Claude Speed</t>
        </is>
      </c>
      <c r="H14" t="inlineStr">
        <is>
          <t>Toni</t>
        </is>
      </c>
      <c r="I14" s="1" t="n">
        <v>45958.20555555556</v>
      </c>
      <c r="J14" t="n">
        <v>64</v>
      </c>
      <c r="K14" t="inlineStr">
        <is>
          <t xml:space="preserve"> </t>
        </is>
      </c>
      <c r="L14" t="inlineStr">
        <is>
          <t>Portland</t>
        </is>
      </c>
      <c r="M14" s="2">
        <f>HYPERLINK("https://tychesoftware.atlassian.net/browse/GTA-8450", "Go to")</f>
        <v/>
      </c>
    </row>
    <row r="15">
      <c r="A15" t="n">
        <v>14</v>
      </c>
      <c r="B15" t="inlineStr">
        <is>
          <t>The Pick-Up</t>
        </is>
      </c>
      <c r="C15" t="inlineStr">
        <is>
          <t>GTA-0629</t>
        </is>
      </c>
      <c r="D15" t="inlineStr">
        <is>
          <t>In Progress</t>
        </is>
      </c>
      <c r="E15" t="inlineStr">
        <is>
          <t>Blocker</t>
        </is>
      </c>
      <c r="F15" t="inlineStr"/>
      <c r="G15" t="inlineStr">
        <is>
          <t>Claude Speed</t>
        </is>
      </c>
      <c r="H15" t="inlineStr">
        <is>
          <t>Toni</t>
        </is>
      </c>
      <c r="I15" s="1" t="n">
        <v>45941.89583333334</v>
      </c>
      <c r="J15" t="n">
        <v>80</v>
      </c>
      <c r="K15" t="inlineStr">
        <is>
          <t xml:space="preserve"> </t>
        </is>
      </c>
      <c r="L15" t="inlineStr">
        <is>
          <t>Portland</t>
        </is>
      </c>
      <c r="M15" s="2">
        <f>HYPERLINK("https://tychesoftware.atlassian.net/browse/GTA-0629", "Go to")</f>
        <v/>
      </c>
    </row>
    <row r="16">
      <c r="A16" t="n">
        <v>15</v>
      </c>
      <c r="B16" t="inlineStr">
        <is>
          <t>Salvatore's Called a Meeting</t>
        </is>
      </c>
      <c r="C16" t="inlineStr">
        <is>
          <t>GTA-5907</t>
        </is>
      </c>
      <c r="D16" t="inlineStr">
        <is>
          <t>Closed</t>
        </is>
      </c>
      <c r="E16" t="inlineStr">
        <is>
          <t>Blocker</t>
        </is>
      </c>
      <c r="F16" t="inlineStr">
        <is>
          <t>Done</t>
        </is>
      </c>
      <c r="G16" t="inlineStr">
        <is>
          <t>Claude Speed</t>
        </is>
      </c>
      <c r="H16" t="inlineStr">
        <is>
          <t>Toni</t>
        </is>
      </c>
      <c r="I16" s="1" t="n">
        <v>45903.22152777778</v>
      </c>
      <c r="J16" t="n">
        <v>119</v>
      </c>
      <c r="K16" s="1" t="n">
        <v>45958.99930555555</v>
      </c>
      <c r="L16" t="inlineStr">
        <is>
          <t>Portland</t>
        </is>
      </c>
      <c r="M16" s="2">
        <f>HYPERLINK("https://tychesoftware.atlassian.net/browse/GTA-5907", "Go to")</f>
        <v/>
      </c>
    </row>
    <row r="17">
      <c r="A17" t="n">
        <v>16</v>
      </c>
      <c r="B17" t="inlineStr">
        <is>
          <t>Chaperone</t>
        </is>
      </c>
      <c r="C17" t="inlineStr">
        <is>
          <t>GTA-4218</t>
        </is>
      </c>
      <c r="D17" t="inlineStr">
        <is>
          <t>To Do</t>
        </is>
      </c>
      <c r="E17" t="inlineStr">
        <is>
          <t>Blocker</t>
        </is>
      </c>
      <c r="F17" t="inlineStr"/>
      <c r="G17" t="inlineStr">
        <is>
          <t>Claude Speed</t>
        </is>
      </c>
      <c r="H17" t="inlineStr">
        <is>
          <t>Salvatore</t>
        </is>
      </c>
      <c r="I17" s="1" t="n">
        <v>45925.57430555556</v>
      </c>
      <c r="J17" t="n">
        <v>97</v>
      </c>
      <c r="K17" t="inlineStr">
        <is>
          <t xml:space="preserve"> </t>
        </is>
      </c>
      <c r="L17" t="inlineStr">
        <is>
          <t>Portland</t>
        </is>
      </c>
      <c r="M17" s="2">
        <f>HYPERLINK("https://tychesoftware.atlassian.net/browse/GTA-4218", "Go to")</f>
        <v/>
      </c>
    </row>
    <row r="18">
      <c r="A18" t="n">
        <v>17</v>
      </c>
      <c r="B18" t="inlineStr">
        <is>
          <t>Cutting the Grass</t>
        </is>
      </c>
      <c r="C18" t="inlineStr">
        <is>
          <t>GTA-9372</t>
        </is>
      </c>
      <c r="D18" t="inlineStr">
        <is>
          <t>Validation</t>
        </is>
      </c>
      <c r="E18" t="inlineStr">
        <is>
          <t>High</t>
        </is>
      </c>
      <c r="F18" t="inlineStr"/>
      <c r="G18" t="inlineStr">
        <is>
          <t>Claude Speed</t>
        </is>
      </c>
      <c r="H18" t="inlineStr">
        <is>
          <t>Salvatore</t>
        </is>
      </c>
      <c r="I18" s="1" t="n">
        <v>45866.33819444444</v>
      </c>
      <c r="J18" t="n">
        <v>156</v>
      </c>
      <c r="K18" t="inlineStr">
        <is>
          <t xml:space="preserve"> </t>
        </is>
      </c>
      <c r="L18" t="inlineStr">
        <is>
          <t>Portland</t>
        </is>
      </c>
      <c r="M18" s="2">
        <f>HYPERLINK("https://tychesoftware.atlassian.net/browse/GTA-9372", "Go to")</f>
        <v/>
      </c>
    </row>
    <row r="19">
      <c r="A19" t="n">
        <v>18</v>
      </c>
      <c r="B19" t="inlineStr">
        <is>
          <t>Bomb Da Base: Act I</t>
        </is>
      </c>
      <c r="C19" t="inlineStr">
        <is>
          <t>GTA-1540</t>
        </is>
      </c>
      <c r="D19" t="inlineStr">
        <is>
          <t>In Progress</t>
        </is>
      </c>
      <c r="E19" t="inlineStr">
        <is>
          <t>High</t>
        </is>
      </c>
      <c r="F19" t="inlineStr"/>
      <c r="G19" t="inlineStr">
        <is>
          <t>Claude Speed</t>
        </is>
      </c>
      <c r="H19" t="inlineStr">
        <is>
          <t>8 Ball</t>
        </is>
      </c>
      <c r="I19" s="1" t="n">
        <v>45932.96875</v>
      </c>
      <c r="J19" t="n">
        <v>89</v>
      </c>
      <c r="K19" t="inlineStr">
        <is>
          <t xml:space="preserve"> </t>
        </is>
      </c>
      <c r="L19" t="inlineStr">
        <is>
          <t>Portland</t>
        </is>
      </c>
      <c r="M19" s="2">
        <f>HYPERLINK("https://tychesoftware.atlassian.net/browse/GTA-1540", "Go to")</f>
        <v/>
      </c>
    </row>
    <row r="20">
      <c r="A20" t="n">
        <v>19</v>
      </c>
      <c r="B20" t="inlineStr">
        <is>
          <t>Bomb Da Base: Act II</t>
        </is>
      </c>
      <c r="C20" t="inlineStr">
        <is>
          <t>GTA-7689</t>
        </is>
      </c>
      <c r="D20" t="inlineStr">
        <is>
          <t>Validation</t>
        </is>
      </c>
      <c r="E20" t="inlineStr">
        <is>
          <t>High</t>
        </is>
      </c>
      <c r="F20" t="inlineStr"/>
      <c r="G20" t="inlineStr">
        <is>
          <t>Claude Speed</t>
        </is>
      </c>
      <c r="H20" t="inlineStr">
        <is>
          <t>8 Ball</t>
        </is>
      </c>
      <c r="I20" s="1" t="n">
        <v>45892.14513888889</v>
      </c>
      <c r="J20" t="n">
        <v>130</v>
      </c>
      <c r="K20" t="inlineStr">
        <is>
          <t xml:space="preserve"> </t>
        </is>
      </c>
      <c r="L20" t="inlineStr">
        <is>
          <t>Portland</t>
        </is>
      </c>
      <c r="M20" s="2">
        <f>HYPERLINK("https://tychesoftware.atlassian.net/browse/GTA-7689", "Go to")</f>
        <v/>
      </c>
    </row>
    <row r="21">
      <c r="A21" t="n">
        <v>20</v>
      </c>
      <c r="B21" t="inlineStr">
        <is>
          <t>Last Requests</t>
        </is>
      </c>
      <c r="C21" t="inlineStr">
        <is>
          <t>GTA-3095</t>
        </is>
      </c>
      <c r="D21" t="inlineStr">
        <is>
          <t>To Do</t>
        </is>
      </c>
      <c r="E21" t="inlineStr">
        <is>
          <t>High</t>
        </is>
      </c>
      <c r="F21" t="inlineStr"/>
      <c r="G21" t="inlineStr">
        <is>
          <t>Claude Speed</t>
        </is>
      </c>
      <c r="H21" t="inlineStr">
        <is>
          <t>Salvatore</t>
        </is>
      </c>
      <c r="I21" s="1" t="n">
        <v>45874.60763888889</v>
      </c>
      <c r="J21" t="n">
        <v>147</v>
      </c>
      <c r="K21" t="inlineStr">
        <is>
          <t xml:space="preserve"> </t>
        </is>
      </c>
      <c r="L21" t="inlineStr">
        <is>
          <t>Portland</t>
        </is>
      </c>
      <c r="M21" s="2">
        <f>HYPERLINK("https://tychesoftware.atlassian.net/browse/GTA-3095", "Go to")</f>
        <v/>
      </c>
    </row>
    <row r="22">
      <c r="A22" t="n">
        <v>21</v>
      </c>
      <c r="B22" t="inlineStr">
        <is>
          <t>Sayonara Salvatore</t>
        </is>
      </c>
      <c r="C22" t="inlineStr">
        <is>
          <t>GTA-6841</t>
        </is>
      </c>
      <c r="D22" t="inlineStr">
        <is>
          <t>Closed</t>
        </is>
      </c>
      <c r="E22" t="inlineStr">
        <is>
          <t>Medium</t>
        </is>
      </c>
      <c r="F22" t="inlineStr">
        <is>
          <t>Done</t>
        </is>
      </c>
      <c r="G22" t="inlineStr">
        <is>
          <t>Claude Speed</t>
        </is>
      </c>
      <c r="H22" t="inlineStr">
        <is>
          <t>Asuka</t>
        </is>
      </c>
      <c r="I22" s="1" t="n">
        <v>45901.32152777778</v>
      </c>
      <c r="J22" t="n">
        <v>121</v>
      </c>
      <c r="K22" s="1" t="n">
        <v>45964.99930555555</v>
      </c>
      <c r="L22" t="inlineStr">
        <is>
          <t>Portland</t>
        </is>
      </c>
      <c r="M22" s="2">
        <f>HYPERLINK("https://tychesoftware.atlassian.net/browse/GTA-6841", "Go to")</f>
        <v/>
      </c>
    </row>
    <row r="23">
      <c r="A23" t="n">
        <v>22</v>
      </c>
      <c r="B23" t="inlineStr">
        <is>
          <t>Under Surveillance</t>
        </is>
      </c>
      <c r="C23" t="inlineStr">
        <is>
          <t>GTA-0926</t>
        </is>
      </c>
      <c r="D23" t="inlineStr">
        <is>
          <t>Validation</t>
        </is>
      </c>
      <c r="E23" t="inlineStr">
        <is>
          <t>High</t>
        </is>
      </c>
      <c r="F23" t="inlineStr"/>
      <c r="G23" t="inlineStr">
        <is>
          <t>Claude Speed</t>
        </is>
      </c>
      <c r="H23" t="inlineStr">
        <is>
          <t>Asuka</t>
        </is>
      </c>
      <c r="I23" s="1" t="n">
        <v>45919.95069444444</v>
      </c>
      <c r="J23" t="n">
        <v>102</v>
      </c>
      <c r="K23" t="inlineStr">
        <is>
          <t xml:space="preserve"> </t>
        </is>
      </c>
      <c r="L23" t="inlineStr">
        <is>
          <t>Staunton</t>
        </is>
      </c>
      <c r="M23" s="2">
        <f>HYPERLINK("https://tychesoftware.atlassian.net/browse/GTA-0926", "Go to")</f>
        <v/>
      </c>
    </row>
    <row r="24">
      <c r="A24" t="n">
        <v>23</v>
      </c>
      <c r="B24" t="inlineStr">
        <is>
          <t>Paparazzi Purge</t>
        </is>
      </c>
      <c r="C24" t="inlineStr">
        <is>
          <t>GTA-8574</t>
        </is>
      </c>
      <c r="D24" t="inlineStr">
        <is>
          <t>To Do</t>
        </is>
      </c>
      <c r="E24" t="inlineStr">
        <is>
          <t>Blocker</t>
        </is>
      </c>
      <c r="F24" t="inlineStr"/>
      <c r="G24" t="inlineStr">
        <is>
          <t>Claude Speed</t>
        </is>
      </c>
      <c r="H24" t="inlineStr">
        <is>
          <t>Asuka</t>
        </is>
      </c>
      <c r="I24" s="1" t="n">
        <v>45867.74652777778</v>
      </c>
      <c r="J24" t="n">
        <v>154</v>
      </c>
      <c r="K24" t="inlineStr">
        <is>
          <t xml:space="preserve"> </t>
        </is>
      </c>
      <c r="L24" t="inlineStr">
        <is>
          <t>Staunton</t>
        </is>
      </c>
      <c r="M24" s="2">
        <f>HYPERLINK("https://tychesoftware.atlassian.net/browse/GTA-8574", "Go to")</f>
        <v/>
      </c>
    </row>
    <row r="25">
      <c r="A25" t="n">
        <v>24</v>
      </c>
      <c r="B25" t="inlineStr">
        <is>
          <t>Payday for Ray</t>
        </is>
      </c>
      <c r="C25" t="inlineStr">
        <is>
          <t>GTA-4163</t>
        </is>
      </c>
      <c r="D25" t="inlineStr">
        <is>
          <t>In Progress</t>
        </is>
      </c>
      <c r="E25" t="inlineStr">
        <is>
          <t>High</t>
        </is>
      </c>
      <c r="F25" t="inlineStr"/>
      <c r="G25" t="inlineStr">
        <is>
          <t>Claude Speed</t>
        </is>
      </c>
      <c r="H25" t="inlineStr">
        <is>
          <t>Asuka</t>
        </is>
      </c>
      <c r="I25" s="1" t="n">
        <v>45947.00833333333</v>
      </c>
      <c r="J25" t="n">
        <v>75</v>
      </c>
      <c r="K25" t="inlineStr">
        <is>
          <t xml:space="preserve"> </t>
        </is>
      </c>
      <c r="L25" t="inlineStr">
        <is>
          <t>Staunton</t>
        </is>
      </c>
      <c r="M25" s="2">
        <f>HYPERLINK("https://tychesoftware.atlassian.net/browse/GTA-4163", "Go to")</f>
        <v/>
      </c>
    </row>
    <row r="26">
      <c r="A26" t="n">
        <v>25</v>
      </c>
      <c r="B26" t="inlineStr">
        <is>
          <t>Two-Faced Tanner</t>
        </is>
      </c>
      <c r="C26" t="inlineStr">
        <is>
          <t>GTA-2759</t>
        </is>
      </c>
      <c r="D26" t="inlineStr">
        <is>
          <t>Closed</t>
        </is>
      </c>
      <c r="E26" t="inlineStr">
        <is>
          <t>Medium</t>
        </is>
      </c>
      <c r="F26" t="inlineStr">
        <is>
          <t>Done</t>
        </is>
      </c>
      <c r="G26" t="inlineStr">
        <is>
          <t>Claude Speed</t>
        </is>
      </c>
      <c r="H26" t="inlineStr">
        <is>
          <t>Asuka</t>
        </is>
      </c>
      <c r="I26" s="1" t="n">
        <v>45967.37569444445</v>
      </c>
      <c r="J26" t="n">
        <v>55</v>
      </c>
      <c r="K26" s="1" t="n">
        <v>45968.99930555555</v>
      </c>
      <c r="L26" t="inlineStr">
        <is>
          <t>Staunton</t>
        </is>
      </c>
      <c r="M26" s="2">
        <f>HYPERLINK("https://tychesoftware.atlassian.net/browse/GTA-2759", "Go to")</f>
        <v/>
      </c>
    </row>
    <row r="27">
      <c r="A27" t="n">
        <v>26</v>
      </c>
      <c r="B27" t="inlineStr">
        <is>
          <t>Kanbu Bust-Out</t>
        </is>
      </c>
      <c r="C27" t="inlineStr">
        <is>
          <t>GTA-9038</t>
        </is>
      </c>
      <c r="D27" t="inlineStr">
        <is>
          <t>In Progress</t>
        </is>
      </c>
      <c r="E27" t="inlineStr">
        <is>
          <t>Blocker</t>
        </is>
      </c>
      <c r="F27" t="inlineStr"/>
      <c r="G27" t="inlineStr">
        <is>
          <t>Claude Speed</t>
        </is>
      </c>
      <c r="H27" t="inlineStr">
        <is>
          <t>Kenji</t>
        </is>
      </c>
      <c r="I27" s="1" t="n">
        <v>45988.83055555556</v>
      </c>
      <c r="J27" t="n">
        <v>33</v>
      </c>
      <c r="K27" t="inlineStr">
        <is>
          <t xml:space="preserve"> </t>
        </is>
      </c>
      <c r="L27" t="inlineStr">
        <is>
          <t>Staunton</t>
        </is>
      </c>
      <c r="M27" s="2">
        <f>HYPERLINK("https://tychesoftware.atlassian.net/browse/GTA-9038", "Go to")</f>
        <v/>
      </c>
    </row>
    <row r="28">
      <c r="A28" t="n">
        <v>27</v>
      </c>
      <c r="B28" t="inlineStr">
        <is>
          <t>Grand Theft Aero</t>
        </is>
      </c>
      <c r="C28" t="inlineStr">
        <is>
          <t>GTA-1407</t>
        </is>
      </c>
      <c r="D28" t="inlineStr">
        <is>
          <t>Closed</t>
        </is>
      </c>
      <c r="E28" t="inlineStr">
        <is>
          <t>Medium</t>
        </is>
      </c>
      <c r="F28" t="inlineStr">
        <is>
          <t>Done</t>
        </is>
      </c>
      <c r="G28" t="inlineStr">
        <is>
          <t>Claude Speed</t>
        </is>
      </c>
      <c r="H28" t="inlineStr">
        <is>
          <t>Donald</t>
        </is>
      </c>
      <c r="I28" s="1" t="n">
        <v>45975.42708333334</v>
      </c>
      <c r="J28" t="n">
        <v>47</v>
      </c>
      <c r="K28" s="1" t="n">
        <v>46070.99930555555</v>
      </c>
      <c r="L28" t="inlineStr">
        <is>
          <t>Staunton</t>
        </is>
      </c>
      <c r="M28" s="2">
        <f>HYPERLINK("https://tychesoftware.atlassian.net/browse/GTA-1407", "Go to")</f>
        <v/>
      </c>
    </row>
    <row r="29">
      <c r="A29" t="n">
        <v>28</v>
      </c>
      <c r="B29" t="inlineStr">
        <is>
          <t>Escort Service</t>
        </is>
      </c>
      <c r="C29" t="inlineStr">
        <is>
          <t>GTA-7680</t>
        </is>
      </c>
      <c r="D29" t="inlineStr">
        <is>
          <t>Validation</t>
        </is>
      </c>
      <c r="E29" t="inlineStr">
        <is>
          <t>Medium</t>
        </is>
      </c>
      <c r="F29" t="inlineStr"/>
      <c r="G29" t="inlineStr">
        <is>
          <t>Claude Speed</t>
        </is>
      </c>
      <c r="H29" t="inlineStr">
        <is>
          <t>Donald</t>
        </is>
      </c>
      <c r="I29" s="1" t="n">
        <v>45851.48541666667</v>
      </c>
      <c r="J29" t="n">
        <v>171</v>
      </c>
      <c r="K29" t="inlineStr">
        <is>
          <t xml:space="preserve"> </t>
        </is>
      </c>
      <c r="L29" t="inlineStr">
        <is>
          <t>Staunton</t>
        </is>
      </c>
      <c r="M29" s="2">
        <f>HYPERLINK("https://tychesoftware.atlassian.net/browse/GTA-7680", "Go to")</f>
        <v/>
      </c>
    </row>
    <row r="30">
      <c r="A30" t="n">
        <v>29</v>
      </c>
      <c r="B30" t="inlineStr">
        <is>
          <t>Decoy</t>
        </is>
      </c>
      <c r="C30" t="inlineStr">
        <is>
          <t>GTA-5521</t>
        </is>
      </c>
      <c r="D30" t="inlineStr">
        <is>
          <t>Closed</t>
        </is>
      </c>
      <c r="E30" t="inlineStr">
        <is>
          <t>Blocker</t>
        </is>
      </c>
      <c r="F30" t="inlineStr">
        <is>
          <t>Done</t>
        </is>
      </c>
      <c r="G30" t="inlineStr">
        <is>
          <t>Claude Speed</t>
        </is>
      </c>
      <c r="H30" t="inlineStr">
        <is>
          <t>Donald</t>
        </is>
      </c>
      <c r="I30" s="1" t="n">
        <v>45971.2625</v>
      </c>
      <c r="J30" t="n">
        <v>51</v>
      </c>
      <c r="K30" s="1" t="n">
        <v>45972.99930555555</v>
      </c>
      <c r="L30" t="inlineStr">
        <is>
          <t>Staunton</t>
        </is>
      </c>
      <c r="M30" s="2">
        <f>HYPERLINK("https://tychesoftware.atlassian.net/browse/GTA-5521", "Go to")</f>
        <v/>
      </c>
    </row>
    <row r="31">
      <c r="A31" t="n">
        <v>30</v>
      </c>
      <c r="B31" t="inlineStr">
        <is>
          <t>Love's Disappearance</t>
        </is>
      </c>
      <c r="C31" t="inlineStr">
        <is>
          <t>GTA-3946</t>
        </is>
      </c>
      <c r="D31" t="inlineStr">
        <is>
          <t>To Do</t>
        </is>
      </c>
      <c r="E31" t="inlineStr">
        <is>
          <t>High</t>
        </is>
      </c>
      <c r="F31" t="inlineStr"/>
      <c r="G31" t="inlineStr">
        <is>
          <t>Claude Speed</t>
        </is>
      </c>
      <c r="H31" t="inlineStr">
        <is>
          <t>Donald</t>
        </is>
      </c>
      <c r="I31" s="1" t="n">
        <v>45977.89236111111</v>
      </c>
      <c r="J31" t="n">
        <v>44</v>
      </c>
      <c r="K31" t="inlineStr">
        <is>
          <t xml:space="preserve"> </t>
        </is>
      </c>
      <c r="L31" t="inlineStr">
        <is>
          <t>Staunton</t>
        </is>
      </c>
      <c r="M31" s="2">
        <f>HYPERLINK("https://tychesoftware.atlassian.net/browse/GTA-3946", "Go to")</f>
        <v/>
      </c>
    </row>
    <row r="32">
      <c r="A32" t="n">
        <v>31</v>
      </c>
      <c r="B32" t="inlineStr">
        <is>
          <t>Bling-Bling Scramble</t>
        </is>
      </c>
      <c r="C32" t="inlineStr">
        <is>
          <t>GTA-8702</t>
        </is>
      </c>
      <c r="D32" t="inlineStr">
        <is>
          <t>In Progress</t>
        </is>
      </c>
      <c r="E32" t="inlineStr">
        <is>
          <t>Medium</t>
        </is>
      </c>
      <c r="F32" t="inlineStr"/>
      <c r="G32" t="inlineStr">
        <is>
          <t>Claude Speed</t>
        </is>
      </c>
      <c r="H32" t="inlineStr">
        <is>
          <t>Courtney</t>
        </is>
      </c>
      <c r="I32" s="1" t="n">
        <v>45852.79583333333</v>
      </c>
      <c r="J32" t="n">
        <v>169</v>
      </c>
      <c r="K32" t="inlineStr">
        <is>
          <t xml:space="preserve"> </t>
        </is>
      </c>
      <c r="L32" t="inlineStr">
        <is>
          <t>Staunton</t>
        </is>
      </c>
      <c r="M32" s="2">
        <f>HYPERLINK("https://tychesoftware.atlassian.net/browse/GTA-8702", "Go to")</f>
        <v/>
      </c>
    </row>
    <row r="33">
      <c r="A33" t="n">
        <v>32</v>
      </c>
      <c r="B33" t="inlineStr">
        <is>
          <t>Uzi Rider</t>
        </is>
      </c>
      <c r="C33" t="inlineStr">
        <is>
          <t>GTA-6185</t>
        </is>
      </c>
      <c r="D33" t="inlineStr">
        <is>
          <t>To Do</t>
        </is>
      </c>
      <c r="E33" t="inlineStr">
        <is>
          <t>Medium</t>
        </is>
      </c>
      <c r="F33" t="inlineStr"/>
      <c r="G33" t="inlineStr">
        <is>
          <t>Claude Speed</t>
        </is>
      </c>
      <c r="H33" t="inlineStr">
        <is>
          <t>Courtney</t>
        </is>
      </c>
      <c r="I33" s="1" t="n">
        <v>45936.70972222222</v>
      </c>
      <c r="J33" t="n">
        <v>85</v>
      </c>
      <c r="K33" t="inlineStr">
        <is>
          <t xml:space="preserve"> </t>
        </is>
      </c>
      <c r="L33" t="inlineStr">
        <is>
          <t>Staunton</t>
        </is>
      </c>
      <c r="M33" s="2">
        <f>HYPERLINK("https://tychesoftware.atlassian.net/browse/GTA-6185", "Go to")</f>
        <v/>
      </c>
    </row>
    <row r="34">
      <c r="A34" t="n">
        <v>33</v>
      </c>
      <c r="B34" t="inlineStr">
        <is>
          <t>Gangcar Round-Up</t>
        </is>
      </c>
      <c r="C34" t="inlineStr">
        <is>
          <t>GTA-0493</t>
        </is>
      </c>
      <c r="D34" t="inlineStr">
        <is>
          <t>Validation</t>
        </is>
      </c>
      <c r="E34" t="inlineStr">
        <is>
          <t>Medium</t>
        </is>
      </c>
      <c r="F34" t="inlineStr"/>
      <c r="G34" t="inlineStr">
        <is>
          <t>Claude Speed</t>
        </is>
      </c>
      <c r="H34" t="inlineStr">
        <is>
          <t>Courtney</t>
        </is>
      </c>
      <c r="I34" s="1" t="n">
        <v>45982.35416666666</v>
      </c>
      <c r="J34" t="n">
        <v>40</v>
      </c>
      <c r="K34" t="inlineStr">
        <is>
          <t xml:space="preserve"> </t>
        </is>
      </c>
      <c r="L34" t="inlineStr">
        <is>
          <t>Staunton</t>
        </is>
      </c>
      <c r="M34" s="2">
        <f>HYPERLINK("https://tychesoftware.atlassian.net/browse/GTA-0493", "Go to")</f>
        <v/>
      </c>
    </row>
    <row r="35">
      <c r="A35" t="n">
        <v>34</v>
      </c>
      <c r="B35" t="inlineStr">
        <is>
          <t>Kingdom Come</t>
        </is>
      </c>
      <c r="C35" t="inlineStr">
        <is>
          <t>GTA-9261</t>
        </is>
      </c>
      <c r="D35" t="inlineStr">
        <is>
          <t>To Do</t>
        </is>
      </c>
      <c r="E35" t="inlineStr">
        <is>
          <t>Medium</t>
        </is>
      </c>
      <c r="F35" t="inlineStr"/>
      <c r="G35" t="inlineStr">
        <is>
          <t>Claude Speed</t>
        </is>
      </c>
      <c r="H35" t="inlineStr">
        <is>
          <t>Courtney</t>
        </is>
      </c>
      <c r="I35" s="1" t="n">
        <v>45861.63333333333</v>
      </c>
      <c r="J35" t="n">
        <v>160</v>
      </c>
      <c r="K35" t="inlineStr">
        <is>
          <t xml:space="preserve"> </t>
        </is>
      </c>
      <c r="L35" t="inlineStr">
        <is>
          <t>Staunton</t>
        </is>
      </c>
      <c r="M35" s="2">
        <f>HYPERLINK("https://tychesoftware.atlassian.net/browse/GTA-9261", "Go to")</f>
        <v/>
      </c>
    </row>
    <row r="36">
      <c r="A36" t="n">
        <v>35</v>
      </c>
      <c r="B36" t="inlineStr">
        <is>
          <t>Liberator</t>
        </is>
      </c>
      <c r="C36" t="inlineStr">
        <is>
          <t>GTA-3817</t>
        </is>
      </c>
      <c r="D36" t="inlineStr">
        <is>
          <t>Closed</t>
        </is>
      </c>
      <c r="E36" t="inlineStr">
        <is>
          <t>High</t>
        </is>
      </c>
      <c r="F36" t="inlineStr">
        <is>
          <t>Done</t>
        </is>
      </c>
      <c r="G36" t="inlineStr">
        <is>
          <t>Claude Speed</t>
        </is>
      </c>
      <c r="H36" t="inlineStr">
        <is>
          <t>Donald</t>
        </is>
      </c>
      <c r="I36" s="1" t="n">
        <v>45876.86597222222</v>
      </c>
      <c r="J36" t="n">
        <v>145</v>
      </c>
      <c r="K36" s="1" t="n">
        <v>45878.99930555555</v>
      </c>
      <c r="L36" t="inlineStr">
        <is>
          <t>Staunton</t>
        </is>
      </c>
      <c r="M36" s="2">
        <f>HYPERLINK("https://tychesoftware.atlassian.net/browse/GTA-3817", "Go to")</f>
        <v/>
      </c>
    </row>
    <row r="37">
      <c r="A37" t="n">
        <v>36</v>
      </c>
      <c r="B37" t="inlineStr">
        <is>
          <t>Waka-Gashira Wipeout!</t>
        </is>
      </c>
      <c r="C37" t="inlineStr">
        <is>
          <t>GTA-7049</t>
        </is>
      </c>
      <c r="D37" t="inlineStr">
        <is>
          <t>In Progress</t>
        </is>
      </c>
      <c r="E37" t="inlineStr">
        <is>
          <t>Medium</t>
        </is>
      </c>
      <c r="F37" t="inlineStr"/>
      <c r="G37" t="inlineStr">
        <is>
          <t>Claude Speed</t>
        </is>
      </c>
      <c r="H37" t="inlineStr">
        <is>
          <t>Donald</t>
        </is>
      </c>
      <c r="I37" s="1" t="n">
        <v>45938.54444444444</v>
      </c>
      <c r="J37" t="n">
        <v>84</v>
      </c>
      <c r="K37" t="inlineStr">
        <is>
          <t xml:space="preserve"> </t>
        </is>
      </c>
      <c r="L37" t="inlineStr">
        <is>
          <t>Staunton</t>
        </is>
      </c>
      <c r="M37" s="2">
        <f>HYPERLINK("https://tychesoftware.atlassian.net/browse/GTA-7049", "Go to")</f>
        <v/>
      </c>
    </row>
    <row r="38">
      <c r="A38" t="n">
        <v>37</v>
      </c>
      <c r="B38" t="inlineStr">
        <is>
          <t>A Drop in the Ocean</t>
        </is>
      </c>
      <c r="C38" t="inlineStr">
        <is>
          <t>GTA-2158</t>
        </is>
      </c>
      <c r="D38" t="inlineStr">
        <is>
          <t>Closed</t>
        </is>
      </c>
      <c r="E38" t="inlineStr">
        <is>
          <t>Blocker</t>
        </is>
      </c>
      <c r="F38" t="inlineStr">
        <is>
          <t>Done</t>
        </is>
      </c>
      <c r="G38" t="inlineStr">
        <is>
          <t>Claude Speed</t>
        </is>
      </c>
      <c r="H38" t="inlineStr">
        <is>
          <t>Donald</t>
        </is>
      </c>
      <c r="I38" s="1" t="n">
        <v>45881.03541666667</v>
      </c>
      <c r="J38" t="n">
        <v>141</v>
      </c>
      <c r="K38" s="1" t="n">
        <v>45980.99930555555</v>
      </c>
      <c r="L38" t="inlineStr">
        <is>
          <t>Staunton</t>
        </is>
      </c>
      <c r="M38" s="2">
        <f>HYPERLINK("https://tychesoftware.atlassian.net/browse/GTA-2158", "Go to")</f>
        <v/>
      </c>
    </row>
    <row r="39">
      <c r="A39" t="n">
        <v>38</v>
      </c>
      <c r="B39" t="inlineStr">
        <is>
          <t>Bait</t>
        </is>
      </c>
      <c r="C39" t="inlineStr">
        <is>
          <t>GTA-8634</t>
        </is>
      </c>
      <c r="D39" t="inlineStr">
        <is>
          <t>Validation</t>
        </is>
      </c>
      <c r="E39" t="inlineStr">
        <is>
          <t>Blocker</t>
        </is>
      </c>
      <c r="F39" t="inlineStr"/>
      <c r="G39" t="inlineStr">
        <is>
          <t>Claude Speed</t>
        </is>
      </c>
      <c r="H39" t="inlineStr">
        <is>
          <t>Asuka</t>
        </is>
      </c>
      <c r="I39" s="1" t="n">
        <v>45863.90555555555</v>
      </c>
      <c r="J39" t="n">
        <v>158</v>
      </c>
      <c r="K39" t="inlineStr">
        <is>
          <t xml:space="preserve"> </t>
        </is>
      </c>
      <c r="L39" t="inlineStr">
        <is>
          <t>Staunton</t>
        </is>
      </c>
      <c r="M39" s="2">
        <f>HYPERLINK("https://tychesoftware.atlassian.net/browse/GTA-8634", "Go to")</f>
        <v/>
      </c>
    </row>
    <row r="40">
      <c r="A40" t="n">
        <v>39</v>
      </c>
      <c r="B40" t="inlineStr">
        <is>
          <t>Espresso-2-Go!</t>
        </is>
      </c>
      <c r="C40" t="inlineStr">
        <is>
          <t>GTA-5901</t>
        </is>
      </c>
      <c r="D40" t="inlineStr">
        <is>
          <t>To Do</t>
        </is>
      </c>
      <c r="E40" t="inlineStr">
        <is>
          <t>Medium</t>
        </is>
      </c>
      <c r="F40" t="inlineStr"/>
      <c r="G40" t="inlineStr">
        <is>
          <t>Claude Speed</t>
        </is>
      </c>
      <c r="H40" t="inlineStr">
        <is>
          <t>Asuka</t>
        </is>
      </c>
      <c r="I40" s="1" t="n">
        <v>45970.62152777778</v>
      </c>
      <c r="J40" t="n">
        <v>51</v>
      </c>
      <c r="K40" t="inlineStr">
        <is>
          <t xml:space="preserve"> </t>
        </is>
      </c>
      <c r="L40" t="inlineStr">
        <is>
          <t>Staunton</t>
        </is>
      </c>
      <c r="M40" s="2">
        <f>HYPERLINK("https://tychesoftware.atlassian.net/browse/GTA-5901", "Go to")</f>
        <v/>
      </c>
    </row>
    <row r="41">
      <c r="A41" t="n">
        <v>40</v>
      </c>
      <c r="B41" t="inlineStr">
        <is>
          <t>S.A.M.</t>
        </is>
      </c>
      <c r="C41" t="inlineStr">
        <is>
          <t>GTA-1479</t>
        </is>
      </c>
      <c r="D41" t="inlineStr">
        <is>
          <t>Closed</t>
        </is>
      </c>
      <c r="E41" t="inlineStr">
        <is>
          <t>Medium</t>
        </is>
      </c>
      <c r="F41" t="inlineStr">
        <is>
          <t>Done</t>
        </is>
      </c>
      <c r="G41" t="inlineStr">
        <is>
          <t>Claude Speed</t>
        </is>
      </c>
      <c r="H41" t="inlineStr">
        <is>
          <t>Asuka</t>
        </is>
      </c>
      <c r="I41" s="1" t="n">
        <v>45929.47430555556</v>
      </c>
      <c r="J41" t="n">
        <v>93</v>
      </c>
      <c r="K41" s="1" t="n">
        <v>45983.99930555555</v>
      </c>
      <c r="L41" t="inlineStr">
        <is>
          <t>Staunton</t>
        </is>
      </c>
      <c r="M41" s="2">
        <f>HYPERLINK("https://tychesoftware.atlassian.net/browse/GTA-1479", "Go to")</f>
        <v/>
      </c>
    </row>
    <row r="42">
      <c r="A42" t="n">
        <v>41</v>
      </c>
      <c r="B42" t="inlineStr">
        <is>
          <t>Plaster Blaster</t>
        </is>
      </c>
      <c r="C42" t="inlineStr">
        <is>
          <t>GTA-6728</t>
        </is>
      </c>
      <c r="D42" t="inlineStr">
        <is>
          <t>In Progress</t>
        </is>
      </c>
      <c r="E42" t="inlineStr">
        <is>
          <t>Blocker</t>
        </is>
      </c>
      <c r="F42" t="inlineStr"/>
      <c r="G42" t="inlineStr">
        <is>
          <t>Claude Speed</t>
        </is>
      </c>
      <c r="H42" t="inlineStr">
        <is>
          <t>Ray</t>
        </is>
      </c>
      <c r="I42" s="1" t="n">
        <v>45865.5</v>
      </c>
      <c r="J42" t="n">
        <v>157</v>
      </c>
      <c r="K42" t="inlineStr">
        <is>
          <t xml:space="preserve"> </t>
        </is>
      </c>
      <c r="L42" t="inlineStr">
        <is>
          <t>Staunton</t>
        </is>
      </c>
      <c r="M42" s="2">
        <f>HYPERLINK("https://tychesoftware.atlassian.net/browse/GTA-6728", "Go to")</f>
        <v/>
      </c>
    </row>
    <row r="43">
      <c r="A43" t="n">
        <v>42</v>
      </c>
      <c r="B43" t="inlineStr">
        <is>
          <t>Marked Man</t>
        </is>
      </c>
      <c r="C43" t="inlineStr">
        <is>
          <t>GTA-3084</t>
        </is>
      </c>
      <c r="D43" t="inlineStr">
        <is>
          <t>Validation</t>
        </is>
      </c>
      <c r="E43" t="inlineStr">
        <is>
          <t>Medium</t>
        </is>
      </c>
      <c r="F43" t="inlineStr"/>
      <c r="G43" t="inlineStr">
        <is>
          <t>Claude Speed</t>
        </is>
      </c>
      <c r="H43" t="inlineStr">
        <is>
          <t>Ray</t>
        </is>
      </c>
      <c r="I43" s="1" t="n">
        <v>45906.92430555556</v>
      </c>
      <c r="J43" t="n">
        <v>115</v>
      </c>
      <c r="K43" t="inlineStr">
        <is>
          <t xml:space="preserve"> </t>
        </is>
      </c>
      <c r="L43" t="inlineStr">
        <is>
          <t>Staunton</t>
        </is>
      </c>
      <c r="M43" s="2">
        <f>HYPERLINK("https://tychesoftware.atlassian.net/browse/GTA-3084", "Go to")</f>
        <v/>
      </c>
    </row>
    <row r="44">
      <c r="A44" t="n">
        <v>43</v>
      </c>
      <c r="B44" t="inlineStr">
        <is>
          <t>Silence the Sneak</t>
        </is>
      </c>
      <c r="C44" t="inlineStr">
        <is>
          <t>GTA-9516</t>
        </is>
      </c>
      <c r="D44" t="inlineStr">
        <is>
          <t>To Do</t>
        </is>
      </c>
      <c r="E44" t="inlineStr">
        <is>
          <t>Medium</t>
        </is>
      </c>
      <c r="F44" t="inlineStr"/>
      <c r="G44" t="inlineStr">
        <is>
          <t>Claude Speed</t>
        </is>
      </c>
      <c r="H44" t="inlineStr">
        <is>
          <t>Ray</t>
        </is>
      </c>
      <c r="I44" s="1" t="n">
        <v>45918.76527777778</v>
      </c>
      <c r="J44" t="n">
        <v>103</v>
      </c>
      <c r="K44" t="inlineStr">
        <is>
          <t xml:space="preserve"> </t>
        </is>
      </c>
      <c r="L44" t="inlineStr">
        <is>
          <t>Staunton</t>
        </is>
      </c>
      <c r="M44" s="2">
        <f>HYPERLINK("https://tychesoftware.atlassian.net/browse/GTA-9516", "Go to")</f>
        <v/>
      </c>
    </row>
    <row r="45">
      <c r="A45" t="n">
        <v>44</v>
      </c>
      <c r="B45" t="inlineStr">
        <is>
          <t>Arms Shortage</t>
        </is>
      </c>
      <c r="C45" t="inlineStr">
        <is>
          <t>GTA-4260</t>
        </is>
      </c>
      <c r="D45" t="inlineStr">
        <is>
          <t>Closed</t>
        </is>
      </c>
      <c r="E45" t="inlineStr">
        <is>
          <t>High</t>
        </is>
      </c>
      <c r="F45" t="inlineStr">
        <is>
          <t>Done</t>
        </is>
      </c>
      <c r="G45" t="inlineStr">
        <is>
          <t>Claude Speed</t>
        </is>
      </c>
      <c r="H45" t="inlineStr">
        <is>
          <t>Ray</t>
        </is>
      </c>
      <c r="I45" s="1" t="n">
        <v>45921.23680555556</v>
      </c>
      <c r="J45" t="n">
        <v>101</v>
      </c>
      <c r="K45" s="1" t="n">
        <v>45987.99930555555</v>
      </c>
      <c r="L45" t="inlineStr">
        <is>
          <t>Staunton</t>
        </is>
      </c>
      <c r="M45" s="2">
        <f>HYPERLINK("https://tychesoftware.atlassian.net/browse/GTA-4260", "Go to")</f>
        <v/>
      </c>
    </row>
    <row r="46">
      <c r="A46" t="n">
        <v>45</v>
      </c>
      <c r="B46" t="inlineStr">
        <is>
          <t>Evidence Dash</t>
        </is>
      </c>
      <c r="C46" t="inlineStr">
        <is>
          <t>GTA-7843</t>
        </is>
      </c>
      <c r="D46" t="inlineStr">
        <is>
          <t>Validation</t>
        </is>
      </c>
      <c r="E46" t="inlineStr">
        <is>
          <t>Medium</t>
        </is>
      </c>
      <c r="F46" t="inlineStr"/>
      <c r="G46" t="inlineStr">
        <is>
          <t>Claude Speed</t>
        </is>
      </c>
      <c r="H46" t="inlineStr">
        <is>
          <t>Ray</t>
        </is>
      </c>
      <c r="I46" s="1" t="n">
        <v>45951.6875</v>
      </c>
      <c r="J46" t="n">
        <v>70</v>
      </c>
      <c r="K46" t="inlineStr">
        <is>
          <t xml:space="preserve"> </t>
        </is>
      </c>
      <c r="L46" t="inlineStr">
        <is>
          <t>Staunton</t>
        </is>
      </c>
      <c r="M46" s="2">
        <f>HYPERLINK("https://tychesoftware.atlassian.net/browse/GTA-7843", "Go to")</f>
        <v/>
      </c>
    </row>
    <row r="47">
      <c r="A47" t="n">
        <v>46</v>
      </c>
      <c r="B47" t="inlineStr">
        <is>
          <t>Gone Fishing</t>
        </is>
      </c>
      <c r="C47" t="inlineStr">
        <is>
          <t>GTA-0197</t>
        </is>
      </c>
      <c r="D47" t="inlineStr">
        <is>
          <t>In Progress</t>
        </is>
      </c>
      <c r="E47" t="inlineStr">
        <is>
          <t>High</t>
        </is>
      </c>
      <c r="F47" t="inlineStr"/>
      <c r="G47" t="inlineStr">
        <is>
          <t>Claude Speed</t>
        </is>
      </c>
      <c r="H47" t="inlineStr">
        <is>
          <t>Ray</t>
        </is>
      </c>
      <c r="I47" s="1" t="n">
        <v>45991.5375</v>
      </c>
      <c r="J47" t="n">
        <v>31</v>
      </c>
      <c r="K47" t="inlineStr">
        <is>
          <t xml:space="preserve"> </t>
        </is>
      </c>
      <c r="L47" t="inlineStr">
        <is>
          <t>Staunton</t>
        </is>
      </c>
      <c r="M47" s="2">
        <f>HYPERLINK("https://tychesoftware.atlassian.net/browse/GTA-0197", "Go to")</f>
        <v/>
      </c>
    </row>
    <row r="48">
      <c r="A48" t="n">
        <v>47</v>
      </c>
      <c r="B48" t="inlineStr">
        <is>
          <t>Rumble</t>
        </is>
      </c>
      <c r="C48" t="inlineStr">
        <is>
          <t>GTA-6352</t>
        </is>
      </c>
      <c r="D48" t="inlineStr">
        <is>
          <t>Closed</t>
        </is>
      </c>
      <c r="E48" t="inlineStr">
        <is>
          <t>High</t>
        </is>
      </c>
      <c r="F48" t="inlineStr">
        <is>
          <t>Done</t>
        </is>
      </c>
      <c r="G48" t="inlineStr">
        <is>
          <t>Claude Speed</t>
        </is>
      </c>
      <c r="H48" t="inlineStr">
        <is>
          <t>Ice</t>
        </is>
      </c>
      <c r="I48" s="1" t="n">
        <v>45859.08194444444</v>
      </c>
      <c r="J48" t="n">
        <v>163</v>
      </c>
      <c r="K48" s="1" t="n">
        <v>45890.99930555555</v>
      </c>
      <c r="L48" t="inlineStr">
        <is>
          <t>Shoreside</t>
        </is>
      </c>
      <c r="M48" s="2">
        <f>HYPERLINK("https://tychesoftware.atlassian.net/browse/GTA-6352", "Go to")</f>
        <v/>
      </c>
    </row>
    <row r="49">
      <c r="A49" t="n">
        <v>48</v>
      </c>
      <c r="B49" t="inlineStr">
        <is>
          <t>Smack Down</t>
        </is>
      </c>
      <c r="C49" t="inlineStr">
        <is>
          <t>GTA-2908</t>
        </is>
      </c>
      <c r="D49" t="inlineStr">
        <is>
          <t>To Do</t>
        </is>
      </c>
      <c r="E49" t="inlineStr">
        <is>
          <t>Medium</t>
        </is>
      </c>
      <c r="F49" t="inlineStr"/>
      <c r="G49" t="inlineStr">
        <is>
          <t>Claude Speed</t>
        </is>
      </c>
      <c r="H49" t="inlineStr">
        <is>
          <t>Kenji</t>
        </is>
      </c>
      <c r="I49" s="1" t="n">
        <v>45902.55416666667</v>
      </c>
      <c r="J49" t="n">
        <v>120</v>
      </c>
      <c r="K49" t="inlineStr">
        <is>
          <t xml:space="preserve"> </t>
        </is>
      </c>
      <c r="L49" t="inlineStr">
        <is>
          <t>Staunton</t>
        </is>
      </c>
      <c r="M49" s="2">
        <f>HYPERLINK("https://tychesoftware.atlassian.net/browse/GTA-2908", "Go to")</f>
        <v/>
      </c>
    </row>
    <row r="50">
      <c r="A50" t="n">
        <v>49</v>
      </c>
      <c r="B50" t="inlineStr">
        <is>
          <t>The Exchange</t>
        </is>
      </c>
      <c r="C50" t="inlineStr">
        <is>
          <t>GTA-8746</t>
        </is>
      </c>
      <c r="D50" t="inlineStr">
        <is>
          <t>In Progress</t>
        </is>
      </c>
      <c r="E50" t="inlineStr">
        <is>
          <t>Blocker</t>
        </is>
      </c>
      <c r="F50" t="inlineStr"/>
      <c r="G50" t="inlineStr">
        <is>
          <t>Claude Speed</t>
        </is>
      </c>
      <c r="H50" t="inlineStr">
        <is>
          <t>Catalina</t>
        </is>
      </c>
      <c r="I50" s="1" t="n">
        <v>45883.25486111111</v>
      </c>
      <c r="J50" t="n">
        <v>139</v>
      </c>
      <c r="K50" t="inlineStr">
        <is>
          <t xml:space="preserve"> </t>
        </is>
      </c>
      <c r="L50" t="inlineStr">
        <is>
          <t>Shoreside</t>
        </is>
      </c>
      <c r="M50" s="2">
        <f>HYPERLINK("https://tychesoftware.atlassian.net/browse/GTA-8746", "Go to")</f>
        <v/>
      </c>
    </row>
    <row r="51">
      <c r="A51" t="n">
        <v>50</v>
      </c>
      <c r="B51" t="inlineStr">
        <is>
          <t>In the Beginning...</t>
        </is>
      </c>
      <c r="C51" t="inlineStr">
        <is>
          <t>GTA-4613</t>
        </is>
      </c>
      <c r="D51" t="inlineStr">
        <is>
          <t>Validation</t>
        </is>
      </c>
      <c r="E51" t="inlineStr">
        <is>
          <t>Blocker</t>
        </is>
      </c>
      <c r="F51" t="inlineStr"/>
      <c r="G51" t="inlineStr">
        <is>
          <t>Tommy Vercetti</t>
        </is>
      </c>
      <c r="H51" t="inlineStr">
        <is>
          <t>Ken</t>
        </is>
      </c>
      <c r="I51" s="1" t="n">
        <v>45952.34166666667</v>
      </c>
      <c r="J51" t="n">
        <v>70</v>
      </c>
      <c r="K51" t="inlineStr">
        <is>
          <t xml:space="preserve"> </t>
        </is>
      </c>
      <c r="L51" t="inlineStr">
        <is>
          <t>Beach</t>
        </is>
      </c>
      <c r="M51" s="2">
        <f>HYPERLINK("https://tychesoftware.atlassian.net/browse/GTA-4613", "Go to")</f>
        <v/>
      </c>
    </row>
    <row r="52">
      <c r="A52" t="n">
        <v>51</v>
      </c>
      <c r="B52" t="inlineStr">
        <is>
          <t>An Old Friend</t>
        </is>
      </c>
      <c r="C52" t="inlineStr">
        <is>
          <t>GTA-7052</t>
        </is>
      </c>
      <c r="D52" t="inlineStr">
        <is>
          <t>Closed</t>
        </is>
      </c>
      <c r="E52" t="inlineStr">
        <is>
          <t>Medium</t>
        </is>
      </c>
      <c r="F52" t="inlineStr">
        <is>
          <t>Done</t>
        </is>
      </c>
      <c r="G52" t="inlineStr">
        <is>
          <t>Tommy Vercetti</t>
        </is>
      </c>
      <c r="H52" t="inlineStr">
        <is>
          <t>Ken</t>
        </is>
      </c>
      <c r="I52" s="1" t="n">
        <v>45885.94027777778</v>
      </c>
      <c r="J52" t="n">
        <v>136</v>
      </c>
      <c r="K52" s="1" t="n">
        <v>45894.99930555555</v>
      </c>
      <c r="L52" t="inlineStr">
        <is>
          <t>Beach</t>
        </is>
      </c>
      <c r="M52" s="2">
        <f>HYPERLINK("https://tychesoftware.atlassian.net/browse/GTA-7052", "Go to")</f>
        <v/>
      </c>
    </row>
    <row r="53">
      <c r="A53" t="n">
        <v>52</v>
      </c>
      <c r="B53" t="inlineStr">
        <is>
          <t>The Party</t>
        </is>
      </c>
      <c r="C53" t="inlineStr">
        <is>
          <t>GTA-1584</t>
        </is>
      </c>
      <c r="D53" t="inlineStr">
        <is>
          <t>To Do</t>
        </is>
      </c>
      <c r="E53" t="inlineStr">
        <is>
          <t>Blocker</t>
        </is>
      </c>
      <c r="F53" t="inlineStr"/>
      <c r="G53" t="inlineStr">
        <is>
          <t>Tommy Vercetti</t>
        </is>
      </c>
      <c r="H53" t="inlineStr">
        <is>
          <t>Ken</t>
        </is>
      </c>
      <c r="I53" s="1" t="n">
        <v>45853.43680555555</v>
      </c>
      <c r="J53" t="n">
        <v>169</v>
      </c>
      <c r="K53" t="inlineStr">
        <is>
          <t xml:space="preserve"> </t>
        </is>
      </c>
      <c r="L53" t="inlineStr">
        <is>
          <t>Beach</t>
        </is>
      </c>
      <c r="M53" s="2">
        <f>HYPERLINK("https://tychesoftware.atlassian.net/browse/GTA-1584", "Go to")</f>
        <v/>
      </c>
    </row>
    <row r="54">
      <c r="A54" t="n">
        <v>53</v>
      </c>
      <c r="B54" t="inlineStr">
        <is>
          <t>Back Alley Brawl</t>
        </is>
      </c>
      <c r="C54" t="inlineStr">
        <is>
          <t>GTA-9320</t>
        </is>
      </c>
      <c r="D54" t="inlineStr">
        <is>
          <t>In Progress</t>
        </is>
      </c>
      <c r="E54" t="inlineStr">
        <is>
          <t>Medium</t>
        </is>
      </c>
      <c r="F54" t="inlineStr"/>
      <c r="G54" t="inlineStr">
        <is>
          <t>Tommy Vercetti</t>
        </is>
      </c>
      <c r="H54" t="inlineStr">
        <is>
          <t>Ken</t>
        </is>
      </c>
      <c r="I54" s="1" t="n">
        <v>45870.83333333334</v>
      </c>
      <c r="J54" t="n">
        <v>151</v>
      </c>
      <c r="K54" t="inlineStr">
        <is>
          <t xml:space="preserve"> </t>
        </is>
      </c>
      <c r="L54" t="inlineStr">
        <is>
          <t>Beach</t>
        </is>
      </c>
      <c r="M54" s="2">
        <f>HYPERLINK("https://tychesoftware.atlassian.net/browse/GTA-9320", "Go to")</f>
        <v/>
      </c>
    </row>
    <row r="55">
      <c r="A55" t="n">
        <v>54</v>
      </c>
      <c r="B55" t="inlineStr">
        <is>
          <t>Jury Fury</t>
        </is>
      </c>
      <c r="C55" t="inlineStr">
        <is>
          <t>GTA-3469</t>
        </is>
      </c>
      <c r="D55" t="inlineStr">
        <is>
          <t>Closed</t>
        </is>
      </c>
      <c r="E55" t="inlineStr">
        <is>
          <t>High</t>
        </is>
      </c>
      <c r="F55" t="inlineStr">
        <is>
          <t>Done</t>
        </is>
      </c>
      <c r="G55" t="inlineStr">
        <is>
          <t>Tommy Vercetti</t>
        </is>
      </c>
      <c r="H55" t="inlineStr">
        <is>
          <t>Ken</t>
        </is>
      </c>
      <c r="I55" s="1" t="n">
        <v>45945.39791666667</v>
      </c>
      <c r="J55" t="n">
        <v>77</v>
      </c>
      <c r="K55" s="1" t="n">
        <v>45997.99930555555</v>
      </c>
      <c r="L55" t="inlineStr">
        <is>
          <t>Beach</t>
        </is>
      </c>
      <c r="M55" s="2">
        <f>HYPERLINK("https://tychesoftware.atlassian.net/browse/GTA-3469", "Go to")</f>
        <v/>
      </c>
    </row>
    <row r="56">
      <c r="A56" t="n">
        <v>55</v>
      </c>
      <c r="B56" t="inlineStr">
        <is>
          <t>Riot</t>
        </is>
      </c>
      <c r="C56" t="inlineStr">
        <is>
          <t>GTA-8097</t>
        </is>
      </c>
      <c r="D56" t="inlineStr">
        <is>
          <t>Validation</t>
        </is>
      </c>
      <c r="E56" t="inlineStr">
        <is>
          <t>Medium</t>
        </is>
      </c>
      <c r="F56" t="inlineStr"/>
      <c r="G56" t="inlineStr">
        <is>
          <t>Tommy Vercetti</t>
        </is>
      </c>
      <c r="H56" t="inlineStr">
        <is>
          <t>Ken</t>
        </is>
      </c>
      <c r="I56" s="1" t="n">
        <v>45954.93125</v>
      </c>
      <c r="J56" t="n">
        <v>67</v>
      </c>
      <c r="K56" t="inlineStr">
        <is>
          <t xml:space="preserve"> </t>
        </is>
      </c>
      <c r="L56" t="inlineStr">
        <is>
          <t>Beach</t>
        </is>
      </c>
      <c r="M56" s="2">
        <f>HYPERLINK("https://tychesoftware.atlassian.net/browse/GTA-8097", "Go to")</f>
        <v/>
      </c>
    </row>
    <row r="57">
      <c r="A57" t="n">
        <v>56</v>
      </c>
      <c r="B57" t="inlineStr">
        <is>
          <t>Treacherous Swine</t>
        </is>
      </c>
      <c r="C57" t="inlineStr">
        <is>
          <t>GTA-2714</t>
        </is>
      </c>
      <c r="D57" t="inlineStr">
        <is>
          <t>To Do</t>
        </is>
      </c>
      <c r="E57" t="inlineStr">
        <is>
          <t>Medium</t>
        </is>
      </c>
      <c r="F57" t="inlineStr"/>
      <c r="G57" t="inlineStr">
        <is>
          <t>Tommy Vercetti</t>
        </is>
      </c>
      <c r="H57" t="inlineStr">
        <is>
          <t>Cortez</t>
        </is>
      </c>
      <c r="I57" s="1" t="n">
        <v>45981.71180555555</v>
      </c>
      <c r="J57" t="n">
        <v>40</v>
      </c>
      <c r="K57" t="inlineStr">
        <is>
          <t xml:space="preserve"> </t>
        </is>
      </c>
      <c r="L57" t="inlineStr">
        <is>
          <t>Beach</t>
        </is>
      </c>
      <c r="M57" s="2">
        <f>HYPERLINK("https://tychesoftware.atlassian.net/browse/GTA-2714", "Go to")</f>
        <v/>
      </c>
    </row>
    <row r="58">
      <c r="A58" t="n">
        <v>57</v>
      </c>
      <c r="B58" t="inlineStr">
        <is>
          <t>Mall Shootout</t>
        </is>
      </c>
      <c r="C58" t="inlineStr">
        <is>
          <t>GTA-6540</t>
        </is>
      </c>
      <c r="D58" t="inlineStr">
        <is>
          <t>Closed</t>
        </is>
      </c>
      <c r="E58" t="inlineStr">
        <is>
          <t>High</t>
        </is>
      </c>
      <c r="F58" t="inlineStr">
        <is>
          <t>Done</t>
        </is>
      </c>
      <c r="G58" t="inlineStr">
        <is>
          <t>Tommy Vercetti</t>
        </is>
      </c>
      <c r="H58" t="inlineStr">
        <is>
          <t>Cortez</t>
        </is>
      </c>
      <c r="I58" s="1" t="n">
        <v>45949.53263888889</v>
      </c>
      <c r="J58" t="n">
        <v>73</v>
      </c>
      <c r="K58" s="1" t="n">
        <v>46000.99930555555</v>
      </c>
      <c r="L58" t="inlineStr">
        <is>
          <t>Beach</t>
        </is>
      </c>
      <c r="M58" s="2">
        <f>HYPERLINK("https://tychesoftware.atlassian.net/browse/GTA-6540", "Go to")</f>
        <v/>
      </c>
    </row>
    <row r="59">
      <c r="A59" t="n">
        <v>58</v>
      </c>
      <c r="B59" t="inlineStr">
        <is>
          <t>Guardian Angels</t>
        </is>
      </c>
      <c r="C59" t="inlineStr">
        <is>
          <t>GTA-0973</t>
        </is>
      </c>
      <c r="D59" t="inlineStr">
        <is>
          <t>In Progress</t>
        </is>
      </c>
      <c r="E59" t="inlineStr">
        <is>
          <t>Medium</t>
        </is>
      </c>
      <c r="F59" t="inlineStr"/>
      <c r="G59" t="inlineStr">
        <is>
          <t>Tommy Vercetti</t>
        </is>
      </c>
      <c r="H59" t="inlineStr">
        <is>
          <t>Cortez</t>
        </is>
      </c>
      <c r="I59" s="1" t="n">
        <v>45990.28611111111</v>
      </c>
      <c r="J59" t="n">
        <v>32</v>
      </c>
      <c r="K59" t="inlineStr">
        <is>
          <t xml:space="preserve"> </t>
        </is>
      </c>
      <c r="L59" t="inlineStr">
        <is>
          <t>Beach</t>
        </is>
      </c>
      <c r="M59" s="2">
        <f>HYPERLINK("https://tychesoftware.atlassian.net/browse/GTA-0973", "Go to")</f>
        <v/>
      </c>
    </row>
    <row r="60">
      <c r="A60" t="n">
        <v>59</v>
      </c>
      <c r="B60" t="inlineStr">
        <is>
          <t>Sir, Yes Sir!</t>
        </is>
      </c>
      <c r="C60" t="inlineStr">
        <is>
          <t>GTA-5836</t>
        </is>
      </c>
      <c r="D60" t="inlineStr">
        <is>
          <t>Validation</t>
        </is>
      </c>
      <c r="E60" t="inlineStr">
        <is>
          <t>High</t>
        </is>
      </c>
      <c r="F60" t="inlineStr"/>
      <c r="G60" t="inlineStr">
        <is>
          <t>Tommy Vercetti</t>
        </is>
      </c>
      <c r="H60" t="inlineStr">
        <is>
          <t>Cortez</t>
        </is>
      </c>
      <c r="I60" s="1" t="n">
        <v>45960.59166666667</v>
      </c>
      <c r="J60" t="n">
        <v>61</v>
      </c>
      <c r="K60" t="inlineStr">
        <is>
          <t xml:space="preserve"> </t>
        </is>
      </c>
      <c r="L60" t="inlineStr">
        <is>
          <t>Beach</t>
        </is>
      </c>
      <c r="M60" s="2">
        <f>HYPERLINK("https://tychesoftware.atlassian.net/browse/GTA-5836", "Go to")</f>
        <v/>
      </c>
    </row>
    <row r="61">
      <c r="A61" t="n">
        <v>60</v>
      </c>
      <c r="B61" t="inlineStr">
        <is>
          <t>All Hands on Deck!</t>
        </is>
      </c>
      <c r="C61" t="inlineStr">
        <is>
          <t>GTA-7421</t>
        </is>
      </c>
      <c r="D61" t="inlineStr">
        <is>
          <t>To Do</t>
        </is>
      </c>
      <c r="E61" t="inlineStr">
        <is>
          <t>High</t>
        </is>
      </c>
      <c r="F61" t="inlineStr"/>
      <c r="G61" t="inlineStr">
        <is>
          <t>Tommy Vercetti</t>
        </is>
      </c>
      <c r="H61" t="inlineStr">
        <is>
          <t>Cortez</t>
        </is>
      </c>
      <c r="I61" s="1" t="n">
        <v>45854.76875</v>
      </c>
      <c r="J61" t="n">
        <v>167</v>
      </c>
      <c r="K61" t="inlineStr">
        <is>
          <t xml:space="preserve"> </t>
        </is>
      </c>
      <c r="L61" t="inlineStr">
        <is>
          <t>Beach</t>
        </is>
      </c>
      <c r="M61" s="2">
        <f>HYPERLINK("https://tychesoftware.atlassian.net/browse/GTA-7421", "Go to")</f>
        <v/>
      </c>
    </row>
    <row r="62">
      <c r="A62" t="n">
        <v>61</v>
      </c>
      <c r="B62" t="inlineStr">
        <is>
          <t>The Chase</t>
        </is>
      </c>
      <c r="C62" t="inlineStr">
        <is>
          <t>GTA-3190</t>
        </is>
      </c>
      <c r="D62" t="inlineStr">
        <is>
          <t>Closed</t>
        </is>
      </c>
      <c r="E62" t="inlineStr">
        <is>
          <t>Medium</t>
        </is>
      </c>
      <c r="F62" t="inlineStr">
        <is>
          <t>Done</t>
        </is>
      </c>
      <c r="G62" t="inlineStr">
        <is>
          <t>Tommy Vercetti</t>
        </is>
      </c>
      <c r="H62" t="inlineStr">
        <is>
          <t>Diaz</t>
        </is>
      </c>
      <c r="I62" s="1" t="n">
        <v>45979.13402777778</v>
      </c>
      <c r="J62" t="n">
        <v>43</v>
      </c>
      <c r="K62" s="1" t="n">
        <v>46004.99930555555</v>
      </c>
      <c r="L62" t="inlineStr">
        <is>
          <t>Starfish</t>
        </is>
      </c>
      <c r="M62" s="2">
        <f>HYPERLINK("https://tychesoftware.atlassian.net/browse/GTA-3190", "Go to")</f>
        <v/>
      </c>
    </row>
    <row r="63">
      <c r="A63" t="n">
        <v>62</v>
      </c>
      <c r="B63" t="inlineStr">
        <is>
          <t>Phnom Penh '86</t>
        </is>
      </c>
      <c r="C63" t="inlineStr">
        <is>
          <t>GTA-8642</t>
        </is>
      </c>
      <c r="D63" t="inlineStr">
        <is>
          <t>In Progress</t>
        </is>
      </c>
      <c r="E63" t="inlineStr">
        <is>
          <t>Medium</t>
        </is>
      </c>
      <c r="F63" t="inlineStr"/>
      <c r="G63" t="inlineStr">
        <is>
          <t>Tommy Vercetti</t>
        </is>
      </c>
      <c r="H63" t="inlineStr">
        <is>
          <t>Diaz</t>
        </is>
      </c>
      <c r="I63" s="1" t="n">
        <v>45858.57569444444</v>
      </c>
      <c r="J63" t="n">
        <v>163</v>
      </c>
      <c r="K63" t="inlineStr">
        <is>
          <t xml:space="preserve"> </t>
        </is>
      </c>
      <c r="L63" t="inlineStr">
        <is>
          <t>Starfish</t>
        </is>
      </c>
      <c r="M63" s="2">
        <f>HYPERLINK("https://tychesoftware.atlassian.net/browse/GTA-8642", "Go to")</f>
        <v/>
      </c>
    </row>
    <row r="64">
      <c r="A64" t="n">
        <v>63</v>
      </c>
      <c r="B64" t="inlineStr">
        <is>
          <t>The Fastest Boat</t>
        </is>
      </c>
      <c r="C64" t="inlineStr">
        <is>
          <t>GTA-4507</t>
        </is>
      </c>
      <c r="D64" t="inlineStr">
        <is>
          <t>Validation</t>
        </is>
      </c>
      <c r="E64" t="inlineStr">
        <is>
          <t>Blocker</t>
        </is>
      </c>
      <c r="F64" t="inlineStr"/>
      <c r="G64" t="inlineStr">
        <is>
          <t>Tommy Vercetti</t>
        </is>
      </c>
      <c r="H64" t="inlineStr">
        <is>
          <t>Diaz</t>
        </is>
      </c>
      <c r="I64" s="1" t="n">
        <v>45986.86388888889</v>
      </c>
      <c r="J64" t="n">
        <v>35</v>
      </c>
      <c r="K64" t="inlineStr">
        <is>
          <t xml:space="preserve"> </t>
        </is>
      </c>
      <c r="L64" t="inlineStr">
        <is>
          <t>Starfish</t>
        </is>
      </c>
      <c r="M64" s="2">
        <f>HYPERLINK("https://tychesoftware.atlassian.net/browse/GTA-4507", "Go to")</f>
        <v/>
      </c>
    </row>
    <row r="65">
      <c r="A65" t="n">
        <v>64</v>
      </c>
      <c r="B65" t="inlineStr">
        <is>
          <t>Supply &amp; Demand</t>
        </is>
      </c>
      <c r="C65" t="inlineStr">
        <is>
          <t>GTA-1968</t>
        </is>
      </c>
      <c r="D65" t="inlineStr">
        <is>
          <t>Closed</t>
        </is>
      </c>
      <c r="E65" t="inlineStr">
        <is>
          <t>High</t>
        </is>
      </c>
      <c r="F65" t="inlineStr">
        <is>
          <t>Done</t>
        </is>
      </c>
      <c r="G65" t="inlineStr">
        <is>
          <t>Tommy Vercetti</t>
        </is>
      </c>
      <c r="H65" t="inlineStr">
        <is>
          <t>Diaz</t>
        </is>
      </c>
      <c r="I65" s="1" t="n">
        <v>45897.33194444444</v>
      </c>
      <c r="J65" t="n">
        <v>125</v>
      </c>
      <c r="K65" s="1" t="n">
        <v>45907.99930555555</v>
      </c>
      <c r="L65" t="inlineStr">
        <is>
          <t>Starfish</t>
        </is>
      </c>
      <c r="M65" s="2">
        <f>HYPERLINK("https://tychesoftware.atlassian.net/browse/GTA-1968", "Go to")</f>
        <v/>
      </c>
    </row>
    <row r="66">
      <c r="A66" t="n">
        <v>65</v>
      </c>
      <c r="B66" t="inlineStr">
        <is>
          <t>Death Row</t>
        </is>
      </c>
      <c r="C66" t="inlineStr">
        <is>
          <t>GTA-9274</t>
        </is>
      </c>
      <c r="D66" t="inlineStr">
        <is>
          <t>To Do</t>
        </is>
      </c>
      <c r="E66" t="inlineStr">
        <is>
          <t>Blocker</t>
        </is>
      </c>
      <c r="F66" t="inlineStr"/>
      <c r="G66" t="inlineStr">
        <is>
          <t>Tommy Vercetti</t>
        </is>
      </c>
      <c r="H66" t="inlineStr">
        <is>
          <t>Kent</t>
        </is>
      </c>
      <c r="I66" s="1" t="n">
        <v>45868.96319444444</v>
      </c>
      <c r="J66" t="n">
        <v>153</v>
      </c>
      <c r="K66" t="inlineStr">
        <is>
          <t xml:space="preserve"> </t>
        </is>
      </c>
      <c r="L66" t="inlineStr">
        <is>
          <t>Beach</t>
        </is>
      </c>
      <c r="M66" s="2">
        <f>HYPERLINK("https://tychesoftware.atlassian.net/browse/GTA-9274", "Go to")</f>
        <v/>
      </c>
    </row>
    <row r="67">
      <c r="A67" t="n">
        <v>66</v>
      </c>
      <c r="B67" t="inlineStr">
        <is>
          <t>Rub Out</t>
        </is>
      </c>
      <c r="C67" t="inlineStr">
        <is>
          <t>GTA-3810</t>
        </is>
      </c>
      <c r="D67" t="inlineStr">
        <is>
          <t>Validation</t>
        </is>
      </c>
      <c r="E67" t="inlineStr">
        <is>
          <t>Medium</t>
        </is>
      </c>
      <c r="F67" t="inlineStr"/>
      <c r="G67" t="inlineStr">
        <is>
          <t>Tommy Vercetti</t>
        </is>
      </c>
      <c r="H67" t="inlineStr">
        <is>
          <t>Tommy</t>
        </is>
      </c>
      <c r="I67" s="1" t="n">
        <v>45914.66597222222</v>
      </c>
      <c r="J67" t="n">
        <v>107</v>
      </c>
      <c r="K67" t="inlineStr">
        <is>
          <t xml:space="preserve"> </t>
        </is>
      </c>
      <c r="L67" t="inlineStr">
        <is>
          <t>Starfish</t>
        </is>
      </c>
      <c r="M67" s="2">
        <f>HYPERLINK("https://tychesoftware.atlassian.net/browse/GTA-3810", "Go to")</f>
        <v/>
      </c>
    </row>
    <row r="68">
      <c r="A68" t="n">
        <v>67</v>
      </c>
      <c r="B68" t="inlineStr">
        <is>
          <t>Shakedown</t>
        </is>
      </c>
      <c r="C68" t="inlineStr">
        <is>
          <t>GTA-7059</t>
        </is>
      </c>
      <c r="D68" t="inlineStr">
        <is>
          <t>In Progress</t>
        </is>
      </c>
      <c r="E68" t="inlineStr">
        <is>
          <t>Medium</t>
        </is>
      </c>
      <c r="F68" t="inlineStr"/>
      <c r="G68" t="inlineStr">
        <is>
          <t>Tommy Vercetti</t>
        </is>
      </c>
      <c r="H68" t="inlineStr">
        <is>
          <t>Tommy</t>
        </is>
      </c>
      <c r="I68" s="1" t="n">
        <v>45911.08680555555</v>
      </c>
      <c r="J68" t="n">
        <v>111</v>
      </c>
      <c r="K68" t="inlineStr">
        <is>
          <t xml:space="preserve"> </t>
        </is>
      </c>
      <c r="L68" t="inlineStr">
        <is>
          <t>Starfish</t>
        </is>
      </c>
      <c r="M68" s="2">
        <f>HYPERLINK("https://tychesoftware.atlassian.net/browse/GTA-7059", "Go to")</f>
        <v/>
      </c>
    </row>
    <row r="69">
      <c r="A69" t="n">
        <v>68</v>
      </c>
      <c r="B69" t="inlineStr">
        <is>
          <t>Bar Brawl</t>
        </is>
      </c>
      <c r="C69" t="inlineStr">
        <is>
          <t>GTA-2486</t>
        </is>
      </c>
      <c r="D69" t="inlineStr">
        <is>
          <t>Closed</t>
        </is>
      </c>
      <c r="E69" t="inlineStr">
        <is>
          <t>Blocker</t>
        </is>
      </c>
      <c r="F69" t="inlineStr">
        <is>
          <t>Done</t>
        </is>
      </c>
      <c r="G69" t="inlineStr">
        <is>
          <t>Tommy Vercetti</t>
        </is>
      </c>
      <c r="H69" t="inlineStr">
        <is>
          <t>Tommy</t>
        </is>
      </c>
      <c r="I69" s="1" t="n">
        <v>45913.81666666667</v>
      </c>
      <c r="J69" t="n">
        <v>108</v>
      </c>
      <c r="K69" s="1" t="n">
        <v>46011.99930555555</v>
      </c>
      <c r="L69" t="inlineStr">
        <is>
          <t>Starfish</t>
        </is>
      </c>
      <c r="M69" s="2">
        <f>HYPERLINK("https://tychesoftware.atlassian.net/browse/GTA-2486", "Go to")</f>
        <v/>
      </c>
    </row>
    <row r="70">
      <c r="A70" t="n">
        <v>69</v>
      </c>
      <c r="B70" t="inlineStr">
        <is>
          <t>Cop Land</t>
        </is>
      </c>
      <c r="C70" t="inlineStr">
        <is>
          <t>GTA-6391</t>
        </is>
      </c>
      <c r="D70" t="inlineStr">
        <is>
          <t>To Do</t>
        </is>
      </c>
      <c r="E70" t="inlineStr">
        <is>
          <t>High</t>
        </is>
      </c>
      <c r="F70" t="inlineStr"/>
      <c r="G70" t="inlineStr">
        <is>
          <t>Tommy Vercetti</t>
        </is>
      </c>
      <c r="H70" t="inlineStr">
        <is>
          <t>Tommy</t>
        </is>
      </c>
      <c r="I70" s="1" t="n">
        <v>45857.44444444445</v>
      </c>
      <c r="J70" t="n">
        <v>165</v>
      </c>
      <c r="K70" t="inlineStr">
        <is>
          <t xml:space="preserve"> </t>
        </is>
      </c>
      <c r="L70" t="inlineStr">
        <is>
          <t>Starfish</t>
        </is>
      </c>
      <c r="M70" s="2">
        <f>HYPERLINK("https://tychesoftware.atlassian.net/browse/GTA-6391", "Go to")</f>
        <v/>
      </c>
    </row>
    <row r="71">
      <c r="A71" t="n">
        <v>70</v>
      </c>
      <c r="B71" t="inlineStr">
        <is>
          <t>Spilling the Beans</t>
        </is>
      </c>
      <c r="C71" t="inlineStr">
        <is>
          <t>GTA-0742</t>
        </is>
      </c>
      <c r="D71" t="inlineStr">
        <is>
          <t>In Progress</t>
        </is>
      </c>
      <c r="E71" t="inlineStr">
        <is>
          <t>Medium</t>
        </is>
      </c>
      <c r="F71" t="inlineStr"/>
      <c r="G71" t="inlineStr">
        <is>
          <t>Tommy Vercetti</t>
        </is>
      </c>
      <c r="H71" t="inlineStr">
        <is>
          <t>Print Works</t>
        </is>
      </c>
      <c r="I71" s="1" t="n">
        <v>45879.27916666667</v>
      </c>
      <c r="J71" t="n">
        <v>143</v>
      </c>
      <c r="K71" t="inlineStr">
        <is>
          <t xml:space="preserve"> </t>
        </is>
      </c>
      <c r="L71" t="inlineStr">
        <is>
          <t>Downtown</t>
        </is>
      </c>
      <c r="M71" s="2">
        <f>HYPERLINK("https://tychesoftware.atlassian.net/browse/GTA-0742", "Go to")</f>
        <v/>
      </c>
    </row>
    <row r="72">
      <c r="A72" t="n">
        <v>71</v>
      </c>
      <c r="B72" t="inlineStr">
        <is>
          <t>Hit the Courier</t>
        </is>
      </c>
      <c r="C72" t="inlineStr">
        <is>
          <t>GTA-8519</t>
        </is>
      </c>
      <c r="D72" t="inlineStr">
        <is>
          <t>Validation</t>
        </is>
      </c>
      <c r="E72" t="inlineStr">
        <is>
          <t>Blocker</t>
        </is>
      </c>
      <c r="F72" t="inlineStr"/>
      <c r="G72" t="inlineStr">
        <is>
          <t>Tommy Vercetti</t>
        </is>
      </c>
      <c r="H72" t="inlineStr">
        <is>
          <t>Print Works</t>
        </is>
      </c>
      <c r="I72" s="1" t="n">
        <v>45978.37222222222</v>
      </c>
      <c r="J72" t="n">
        <v>44</v>
      </c>
      <c r="K72" t="inlineStr">
        <is>
          <t xml:space="preserve"> </t>
        </is>
      </c>
      <c r="L72" t="inlineStr">
        <is>
          <t>Downtown</t>
        </is>
      </c>
      <c r="M72" s="2">
        <f>HYPERLINK("https://tychesoftware.atlassian.net/browse/GTA-8519", "Go to")</f>
        <v/>
      </c>
    </row>
    <row r="73">
      <c r="A73" t="n">
        <v>72</v>
      </c>
      <c r="B73" t="inlineStr">
        <is>
          <t>Print Works</t>
        </is>
      </c>
      <c r="C73" t="inlineStr">
        <is>
          <t>GTA-4963</t>
        </is>
      </c>
      <c r="D73" t="inlineStr">
        <is>
          <t>Closed</t>
        </is>
      </c>
      <c r="E73" t="inlineStr">
        <is>
          <t>Medium</t>
        </is>
      </c>
      <c r="F73" t="inlineStr">
        <is>
          <t>Done</t>
        </is>
      </c>
      <c r="G73" t="inlineStr">
        <is>
          <t>Tommy Vercetti</t>
        </is>
      </c>
      <c r="H73" t="inlineStr">
        <is>
          <t>Print Works</t>
        </is>
      </c>
      <c r="I73" s="1" t="n">
        <v>45904.54444444444</v>
      </c>
      <c r="J73" t="n">
        <v>118</v>
      </c>
      <c r="K73" s="1" t="n">
        <v>45915.99930555555</v>
      </c>
      <c r="L73" t="inlineStr">
        <is>
          <t>Downtown</t>
        </is>
      </c>
      <c r="M73" s="2">
        <f>HYPERLINK("https://tychesoftware.atlassian.net/browse/GTA-4963", "Go to")</f>
        <v/>
      </c>
    </row>
    <row r="74">
      <c r="A74" t="n">
        <v>73</v>
      </c>
      <c r="B74" t="inlineStr">
        <is>
          <t>Cap the Collector</t>
        </is>
      </c>
      <c r="C74" t="inlineStr">
        <is>
          <t>GTA-2107</t>
        </is>
      </c>
      <c r="D74" t="inlineStr">
        <is>
          <t>To Do</t>
        </is>
      </c>
      <c r="E74" t="inlineStr">
        <is>
          <t>Medium</t>
        </is>
      </c>
      <c r="F74" t="inlineStr"/>
      <c r="G74" t="inlineStr">
        <is>
          <t>Tommy Vercetti</t>
        </is>
      </c>
      <c r="H74" t="inlineStr">
        <is>
          <t>Print Works</t>
        </is>
      </c>
      <c r="I74" s="1" t="n">
        <v>45872.90833333333</v>
      </c>
      <c r="J74" t="n">
        <v>149</v>
      </c>
      <c r="K74" t="inlineStr">
        <is>
          <t xml:space="preserve"> </t>
        </is>
      </c>
      <c r="L74" t="inlineStr">
        <is>
          <t>Downtown</t>
        </is>
      </c>
      <c r="M74" s="2">
        <f>HYPERLINK("https://tychesoftware.atlassian.net/browse/GTA-2107", "Go to")</f>
        <v/>
      </c>
    </row>
    <row r="75">
      <c r="A75" t="n">
        <v>74</v>
      </c>
      <c r="B75" t="inlineStr">
        <is>
          <t>Keep Your Friends Close...</t>
        </is>
      </c>
      <c r="C75" t="inlineStr">
        <is>
          <t>GTA-9784</t>
        </is>
      </c>
      <c r="D75" t="inlineStr">
        <is>
          <t>Validation</t>
        </is>
      </c>
      <c r="E75" t="inlineStr">
        <is>
          <t>Medium</t>
        </is>
      </c>
      <c r="F75" t="inlineStr"/>
      <c r="G75" t="inlineStr">
        <is>
          <t>Tommy Vercetti</t>
        </is>
      </c>
      <c r="H75" t="inlineStr">
        <is>
          <t>Tommy</t>
        </is>
      </c>
      <c r="I75" s="1" t="n">
        <v>45926.43680555555</v>
      </c>
      <c r="J75" t="n">
        <v>96</v>
      </c>
      <c r="K75" t="inlineStr">
        <is>
          <t xml:space="preserve"> </t>
        </is>
      </c>
      <c r="L75" t="inlineStr">
        <is>
          <t>Starfish</t>
        </is>
      </c>
      <c r="M75" s="2">
        <f>HYPERLINK("https://tychesoftware.atlassian.net/browse/GTA-9784", "Go to")</f>
        <v/>
      </c>
    </row>
    <row r="76">
      <c r="A76" t="n">
        <v>75</v>
      </c>
      <c r="B76" t="inlineStr">
        <is>
          <t>Big Smoke</t>
        </is>
      </c>
      <c r="C76" t="inlineStr">
        <is>
          <t>GTA-3645</t>
        </is>
      </c>
      <c r="D76" t="inlineStr">
        <is>
          <t>Closed</t>
        </is>
      </c>
      <c r="E76" t="inlineStr">
        <is>
          <t>High</t>
        </is>
      </c>
      <c r="F76" t="inlineStr">
        <is>
          <t>Done</t>
        </is>
      </c>
      <c r="G76" t="inlineStr">
        <is>
          <t>Carl Johnson</t>
        </is>
      </c>
      <c r="H76" t="inlineStr">
        <is>
          <t>Carl</t>
        </is>
      </c>
      <c r="I76" s="1" t="n">
        <v>45878.80486111111</v>
      </c>
      <c r="J76" t="n">
        <v>143</v>
      </c>
      <c r="K76" s="1" t="n">
        <v>45918.99930555555</v>
      </c>
      <c r="L76" t="inlineStr">
        <is>
          <t>Los Santos</t>
        </is>
      </c>
      <c r="M76" s="2">
        <f>HYPERLINK("https://tychesoftware.atlassian.net/browse/GTA-3645", "Go to")</f>
        <v/>
      </c>
    </row>
    <row r="77">
      <c r="A77" t="n">
        <v>76</v>
      </c>
      <c r="B77" t="inlineStr">
        <is>
          <t>Sweet &amp; Kendl</t>
        </is>
      </c>
      <c r="C77" t="inlineStr">
        <is>
          <t>GTA-7028</t>
        </is>
      </c>
      <c r="D77" t="inlineStr">
        <is>
          <t>In Progress</t>
        </is>
      </c>
      <c r="E77" t="inlineStr">
        <is>
          <t>Medium</t>
        </is>
      </c>
      <c r="F77" t="inlineStr"/>
      <c r="G77" t="inlineStr">
        <is>
          <t>Carl Johnson</t>
        </is>
      </c>
      <c r="H77" t="inlineStr">
        <is>
          <t>Carl</t>
        </is>
      </c>
      <c r="I77" s="1" t="n">
        <v>45956.46944444445</v>
      </c>
      <c r="J77" t="n">
        <v>66</v>
      </c>
      <c r="K77" t="inlineStr">
        <is>
          <t xml:space="preserve"> </t>
        </is>
      </c>
      <c r="L77" t="inlineStr">
        <is>
          <t>Los Santos</t>
        </is>
      </c>
      <c r="M77" s="2">
        <f>HYPERLINK("https://tychesoftware.atlassian.net/browse/GTA-7028", "Go to")</f>
        <v/>
      </c>
    </row>
    <row r="78">
      <c r="A78" t="n">
        <v>77</v>
      </c>
      <c r="B78" t="inlineStr">
        <is>
          <t>Ryder</t>
        </is>
      </c>
      <c r="C78" t="inlineStr">
        <is>
          <t>GTA-1596</t>
        </is>
      </c>
      <c r="D78" t="inlineStr">
        <is>
          <t>To Do</t>
        </is>
      </c>
      <c r="E78" t="inlineStr">
        <is>
          <t>High</t>
        </is>
      </c>
      <c r="F78" t="inlineStr"/>
      <c r="G78" t="inlineStr">
        <is>
          <t>Carl Johnson</t>
        </is>
      </c>
      <c r="H78" t="inlineStr">
        <is>
          <t>Ryder</t>
        </is>
      </c>
      <c r="I78" s="1" t="n">
        <v>45973.59722222222</v>
      </c>
      <c r="J78" t="n">
        <v>48</v>
      </c>
      <c r="K78" t="inlineStr">
        <is>
          <t xml:space="preserve"> </t>
        </is>
      </c>
      <c r="L78" t="inlineStr">
        <is>
          <t>Los Santos</t>
        </is>
      </c>
      <c r="M78" s="2">
        <f>HYPERLINK("https://tychesoftware.atlassian.net/browse/GTA-1596", "Go to")</f>
        <v/>
      </c>
    </row>
    <row r="79">
      <c r="A79" t="n">
        <v>78</v>
      </c>
      <c r="B79" t="inlineStr">
        <is>
          <t>Tagging Up Turf</t>
        </is>
      </c>
      <c r="C79" t="inlineStr">
        <is>
          <t>GTA-8340</t>
        </is>
      </c>
      <c r="D79" t="inlineStr">
        <is>
          <t>Validation</t>
        </is>
      </c>
      <c r="E79" t="inlineStr">
        <is>
          <t>High</t>
        </is>
      </c>
      <c r="F79" t="inlineStr"/>
      <c r="G79" t="inlineStr">
        <is>
          <t>Carl Johnson</t>
        </is>
      </c>
      <c r="H79" t="inlineStr">
        <is>
          <t>Sweet</t>
        </is>
      </c>
      <c r="I79" s="1" t="n">
        <v>45950.23194444444</v>
      </c>
      <c r="J79" t="n">
        <v>72</v>
      </c>
      <c r="K79" t="inlineStr">
        <is>
          <t xml:space="preserve"> </t>
        </is>
      </c>
      <c r="L79" t="inlineStr">
        <is>
          <t>Los Santos</t>
        </is>
      </c>
      <c r="M79" s="2">
        <f>HYPERLINK("https://tychesoftware.atlassian.net/browse/GTA-8340", "Go to")</f>
        <v/>
      </c>
    </row>
    <row r="80">
      <c r="A80" t="n">
        <v>79</v>
      </c>
      <c r="B80" t="inlineStr">
        <is>
          <t>Cleaning the Hood</t>
        </is>
      </c>
      <c r="C80" t="inlineStr">
        <is>
          <t>GTA-5279</t>
        </is>
      </c>
      <c r="D80" t="inlineStr">
        <is>
          <t>Closed</t>
        </is>
      </c>
      <c r="E80" t="inlineStr">
        <is>
          <t>Blocker</t>
        </is>
      </c>
      <c r="F80" t="inlineStr">
        <is>
          <t>Done</t>
        </is>
      </c>
      <c r="G80" t="inlineStr">
        <is>
          <t>Carl Johnson</t>
        </is>
      </c>
      <c r="H80" t="inlineStr">
        <is>
          <t>Sweet</t>
        </is>
      </c>
      <c r="I80" s="1" t="n">
        <v>45871.30625</v>
      </c>
      <c r="J80" t="n">
        <v>151</v>
      </c>
      <c r="K80" s="1" t="n">
        <v>45922.99930555555</v>
      </c>
      <c r="L80" t="inlineStr">
        <is>
          <t>Los Santos</t>
        </is>
      </c>
      <c r="M80" s="2">
        <f>HYPERLINK("https://tychesoftware.atlassian.net/browse/GTA-5279", "Go to")</f>
        <v/>
      </c>
    </row>
    <row r="81">
      <c r="A81" t="n">
        <v>80</v>
      </c>
      <c r="B81" t="inlineStr">
        <is>
          <t>Drive-Thru</t>
        </is>
      </c>
      <c r="C81" t="inlineStr">
        <is>
          <t>GTA-0418</t>
        </is>
      </c>
      <c r="D81" t="inlineStr">
        <is>
          <t>In Progress</t>
        </is>
      </c>
      <c r="E81" t="inlineStr">
        <is>
          <t>High</t>
        </is>
      </c>
      <c r="F81" t="inlineStr"/>
      <c r="G81" t="inlineStr">
        <is>
          <t>Carl Johnson</t>
        </is>
      </c>
      <c r="H81" t="inlineStr">
        <is>
          <t>Sweet</t>
        </is>
      </c>
      <c r="I81" s="1" t="n">
        <v>45962.94583333333</v>
      </c>
      <c r="J81" t="n">
        <v>59</v>
      </c>
      <c r="K81" t="inlineStr">
        <is>
          <t xml:space="preserve"> </t>
        </is>
      </c>
      <c r="L81" t="inlineStr">
        <is>
          <t>Los Santos</t>
        </is>
      </c>
      <c r="M81" s="2">
        <f>HYPERLINK("https://tychesoftware.atlassian.net/browse/GTA-0418", "Go to")</f>
        <v/>
      </c>
    </row>
    <row r="82">
      <c r="A82" t="n">
        <v>81</v>
      </c>
      <c r="B82" t="inlineStr">
        <is>
          <t>Nines and AKs</t>
        </is>
      </c>
      <c r="C82" t="inlineStr">
        <is>
          <t>GTA-6903</t>
        </is>
      </c>
      <c r="D82" t="inlineStr">
        <is>
          <t>To Do</t>
        </is>
      </c>
      <c r="E82" t="inlineStr">
        <is>
          <t>Medium</t>
        </is>
      </c>
      <c r="F82" t="inlineStr"/>
      <c r="G82" t="inlineStr">
        <is>
          <t>Carl Johnson</t>
        </is>
      </c>
      <c r="H82" t="inlineStr">
        <is>
          <t>Sweet</t>
        </is>
      </c>
      <c r="I82" s="1" t="n">
        <v>45959.07430555556</v>
      </c>
      <c r="J82" t="n">
        <v>63</v>
      </c>
      <c r="K82" t="inlineStr">
        <is>
          <t xml:space="preserve"> </t>
        </is>
      </c>
      <c r="L82" t="inlineStr">
        <is>
          <t>Los Santos</t>
        </is>
      </c>
      <c r="M82" s="2">
        <f>HYPERLINK("https://tychesoftware.atlassian.net/browse/GTA-6903", "Go to")</f>
        <v/>
      </c>
    </row>
    <row r="83">
      <c r="A83" t="n">
        <v>82</v>
      </c>
      <c r="B83" t="inlineStr">
        <is>
          <t>Drive-By</t>
        </is>
      </c>
      <c r="C83" t="inlineStr">
        <is>
          <t>GTA-2785</t>
        </is>
      </c>
      <c r="D83" t="inlineStr">
        <is>
          <t>Closed</t>
        </is>
      </c>
      <c r="E83" t="inlineStr">
        <is>
          <t>Medium</t>
        </is>
      </c>
      <c r="F83" t="inlineStr">
        <is>
          <t>Done</t>
        </is>
      </c>
      <c r="G83" t="inlineStr">
        <is>
          <t>Carl Johnson</t>
        </is>
      </c>
      <c r="H83" t="inlineStr">
        <is>
          <t>Sweet</t>
        </is>
      </c>
      <c r="I83" s="1" t="n">
        <v>45940.33194444444</v>
      </c>
      <c r="J83" t="n">
        <v>82</v>
      </c>
      <c r="K83" s="1" t="n">
        <v>46025.99930555555</v>
      </c>
      <c r="L83" t="inlineStr">
        <is>
          <t>Los Santos</t>
        </is>
      </c>
      <c r="M83" s="2">
        <f>HYPERLINK("https://tychesoftware.atlassian.net/browse/GTA-2785", "Go to")</f>
        <v/>
      </c>
    </row>
    <row r="84">
      <c r="A84" t="n">
        <v>83</v>
      </c>
      <c r="B84" t="inlineStr">
        <is>
          <t>Sweet's Girl</t>
        </is>
      </c>
      <c r="C84" t="inlineStr">
        <is>
          <t>GTA-9451</t>
        </is>
      </c>
      <c r="D84" t="inlineStr">
        <is>
          <t>Validation</t>
        </is>
      </c>
      <c r="E84" t="inlineStr">
        <is>
          <t>Medium</t>
        </is>
      </c>
      <c r="F84" t="inlineStr"/>
      <c r="G84" t="inlineStr">
        <is>
          <t>Carl Johnson</t>
        </is>
      </c>
      <c r="H84" t="inlineStr">
        <is>
          <t>Sweet</t>
        </is>
      </c>
      <c r="I84" s="1" t="n">
        <v>45939.64583333334</v>
      </c>
      <c r="J84" t="n">
        <v>82</v>
      </c>
      <c r="K84" t="inlineStr">
        <is>
          <t xml:space="preserve"> </t>
        </is>
      </c>
      <c r="L84" t="inlineStr">
        <is>
          <t>Los Santos</t>
        </is>
      </c>
      <c r="M84" s="2">
        <f>HYPERLINK("https://tychesoftware.atlassian.net/browse/GTA-9451", "Go to")</f>
        <v/>
      </c>
    </row>
    <row r="85">
      <c r="A85" t="n">
        <v>84</v>
      </c>
      <c r="B85" t="inlineStr">
        <is>
          <t>Cesar Vialpando</t>
        </is>
      </c>
      <c r="C85" t="inlineStr">
        <is>
          <t>GTA-4167</t>
        </is>
      </c>
      <c r="D85" t="inlineStr">
        <is>
          <t>In Progress</t>
        </is>
      </c>
      <c r="E85" t="inlineStr">
        <is>
          <t>Medium</t>
        </is>
      </c>
      <c r="F85" t="inlineStr"/>
      <c r="G85" t="inlineStr">
        <is>
          <t>Carl Johnson</t>
        </is>
      </c>
      <c r="H85" t="inlineStr">
        <is>
          <t>Sweet</t>
        </is>
      </c>
      <c r="I85" s="1" t="n">
        <v>45984.75833333333</v>
      </c>
      <c r="J85" t="n">
        <v>37</v>
      </c>
      <c r="K85" t="inlineStr">
        <is>
          <t xml:space="preserve"> </t>
        </is>
      </c>
      <c r="L85" t="inlineStr">
        <is>
          <t>Los Santos</t>
        </is>
      </c>
      <c r="M85" s="2">
        <f>HYPERLINK("https://tychesoftware.atlassian.net/browse/GTA-4167", "Go to")</f>
        <v/>
      </c>
    </row>
    <row r="86">
      <c r="A86" t="n">
        <v>85</v>
      </c>
      <c r="B86" t="inlineStr">
        <is>
          <t>Home Invasion</t>
        </is>
      </c>
      <c r="C86" t="inlineStr">
        <is>
          <t>GTA-8309</t>
        </is>
      </c>
      <c r="D86" t="inlineStr">
        <is>
          <t>Closed</t>
        </is>
      </c>
      <c r="E86" t="inlineStr">
        <is>
          <t>Medium</t>
        </is>
      </c>
      <c r="F86" t="inlineStr">
        <is>
          <t>Done</t>
        </is>
      </c>
      <c r="G86" t="inlineStr">
        <is>
          <t>Carl Johnson</t>
        </is>
      </c>
      <c r="H86" t="inlineStr">
        <is>
          <t>Ryder</t>
        </is>
      </c>
      <c r="I86" s="1" t="n">
        <v>45891.53819444445</v>
      </c>
      <c r="J86" t="n">
        <v>131</v>
      </c>
      <c r="K86" s="1" t="n">
        <v>45928.99930555555</v>
      </c>
      <c r="L86" t="inlineStr">
        <is>
          <t>Los Santos</t>
        </is>
      </c>
      <c r="M86" s="2">
        <f>HYPERLINK("https://tychesoftware.atlassian.net/browse/GTA-8309", "Go to")</f>
        <v/>
      </c>
    </row>
    <row r="87">
      <c r="A87" t="n">
        <v>86</v>
      </c>
      <c r="B87" t="inlineStr">
        <is>
          <t>Catalyst</t>
        </is>
      </c>
      <c r="C87" t="inlineStr">
        <is>
          <t>GTA-5624</t>
        </is>
      </c>
      <c r="D87" t="inlineStr">
        <is>
          <t>To Do</t>
        </is>
      </c>
      <c r="E87" t="inlineStr">
        <is>
          <t>Medium</t>
        </is>
      </c>
      <c r="F87" t="inlineStr"/>
      <c r="G87" t="inlineStr">
        <is>
          <t>Carl Johnson</t>
        </is>
      </c>
      <c r="H87" t="inlineStr">
        <is>
          <t>Ryder</t>
        </is>
      </c>
      <c r="I87" s="1" t="n">
        <v>45928.99930555555</v>
      </c>
      <c r="J87" t="n">
        <v>93</v>
      </c>
      <c r="K87" t="inlineStr">
        <is>
          <t xml:space="preserve"> </t>
        </is>
      </c>
      <c r="L87" t="inlineStr">
        <is>
          <t>Los Santos</t>
        </is>
      </c>
      <c r="M87" s="2">
        <f>HYPERLINK("https://tychesoftware.atlassian.net/browse/GTA-5624", "Go to")</f>
        <v/>
      </c>
    </row>
    <row r="88">
      <c r="A88" t="n">
        <v>87</v>
      </c>
      <c r="B88" t="inlineStr">
        <is>
          <t>Robbing Uncle Sam</t>
        </is>
      </c>
      <c r="C88" t="inlineStr">
        <is>
          <t>GTA-1073</t>
        </is>
      </c>
      <c r="D88" t="inlineStr">
        <is>
          <t>Validation</t>
        </is>
      </c>
      <c r="E88" t="inlineStr">
        <is>
          <t>High</t>
        </is>
      </c>
      <c r="F88" t="inlineStr"/>
      <c r="G88" t="inlineStr">
        <is>
          <t>Carl Johnson</t>
        </is>
      </c>
      <c r="H88" t="inlineStr">
        <is>
          <t>Ryder</t>
        </is>
      </c>
      <c r="I88" s="1" t="n">
        <v>45884.18055555555</v>
      </c>
      <c r="J88" t="n">
        <v>138</v>
      </c>
      <c r="K88" t="inlineStr">
        <is>
          <t xml:space="preserve"> </t>
        </is>
      </c>
      <c r="L88" t="inlineStr">
        <is>
          <t>Los Santos</t>
        </is>
      </c>
      <c r="M88" s="2">
        <f>HYPERLINK("https://tychesoftware.atlassian.net/browse/GTA-1073", "Go to")</f>
        <v/>
      </c>
    </row>
    <row r="89">
      <c r="A89" t="n">
        <v>88</v>
      </c>
      <c r="B89" t="inlineStr">
        <is>
          <t>OG Loc</t>
        </is>
      </c>
      <c r="C89" t="inlineStr">
        <is>
          <t>GTA-7981</t>
        </is>
      </c>
      <c r="D89" t="inlineStr">
        <is>
          <t>In Progress</t>
        </is>
      </c>
      <c r="E89" t="inlineStr">
        <is>
          <t>Medium</t>
        </is>
      </c>
      <c r="F89" t="inlineStr"/>
      <c r="G89" t="inlineStr">
        <is>
          <t>Carl Johnson</t>
        </is>
      </c>
      <c r="H89" t="inlineStr">
        <is>
          <t>Big Smoke</t>
        </is>
      </c>
      <c r="I89" s="1" t="n">
        <v>45860.61388888889</v>
      </c>
      <c r="J89" t="n">
        <v>161</v>
      </c>
      <c r="K89" t="inlineStr">
        <is>
          <t xml:space="preserve"> </t>
        </is>
      </c>
      <c r="L89" t="inlineStr">
        <is>
          <t>Los Santos</t>
        </is>
      </c>
      <c r="M89" s="2">
        <f>HYPERLINK("https://tychesoftware.atlassian.net/browse/GTA-7981", "Go to")</f>
        <v/>
      </c>
    </row>
    <row r="90">
      <c r="A90" t="n">
        <v>89</v>
      </c>
      <c r="B90" t="inlineStr">
        <is>
          <t>Running Dog</t>
        </is>
      </c>
      <c r="C90" t="inlineStr">
        <is>
          <t>GTA-3546</t>
        </is>
      </c>
      <c r="D90" t="inlineStr">
        <is>
          <t>Closed</t>
        </is>
      </c>
      <c r="E90" t="inlineStr">
        <is>
          <t>Medium</t>
        </is>
      </c>
      <c r="F90" t="inlineStr">
        <is>
          <t>Done</t>
        </is>
      </c>
      <c r="G90" t="inlineStr">
        <is>
          <t>Carl Johnson</t>
        </is>
      </c>
      <c r="H90" t="inlineStr">
        <is>
          <t>Big Smoke</t>
        </is>
      </c>
      <c r="I90" s="1" t="n">
        <v>45880.77291666667</v>
      </c>
      <c r="J90" t="n">
        <v>141</v>
      </c>
      <c r="K90" s="1" t="n">
        <v>45932.99930555555</v>
      </c>
      <c r="L90" t="inlineStr">
        <is>
          <t>Los Santos</t>
        </is>
      </c>
      <c r="M90" s="2">
        <f>HYPERLINK("https://tychesoftware.atlassian.net/browse/GTA-3546", "Go to")</f>
        <v/>
      </c>
    </row>
    <row r="91">
      <c r="A91" t="n">
        <v>90</v>
      </c>
      <c r="B91" t="inlineStr">
        <is>
          <t>Wrong Side of the Tracks</t>
        </is>
      </c>
      <c r="C91" t="inlineStr">
        <is>
          <t>GTA-6210</t>
        </is>
      </c>
      <c r="D91" t="inlineStr">
        <is>
          <t>To Do</t>
        </is>
      </c>
      <c r="E91" t="inlineStr">
        <is>
          <t>Medium</t>
        </is>
      </c>
      <c r="F91" t="inlineStr"/>
      <c r="G91" t="inlineStr">
        <is>
          <t>Carl Johnson</t>
        </is>
      </c>
      <c r="H91" t="inlineStr">
        <is>
          <t>Big Smoke</t>
        </is>
      </c>
      <c r="I91" s="1" t="n">
        <v>45864.20555555556</v>
      </c>
      <c r="J91" t="n">
        <v>158</v>
      </c>
      <c r="K91" t="inlineStr">
        <is>
          <t xml:space="preserve"> </t>
        </is>
      </c>
      <c r="L91" t="inlineStr">
        <is>
          <t>Los Santos</t>
        </is>
      </c>
      <c r="M91" s="2">
        <f>HYPERLINK("https://tychesoftware.atlassian.net/browse/GTA-6210", "Go to")</f>
        <v/>
      </c>
    </row>
    <row r="92">
      <c r="A92" t="n">
        <v>91</v>
      </c>
      <c r="B92" t="inlineStr">
        <is>
          <t>Just Business</t>
        </is>
      </c>
      <c r="C92" t="inlineStr">
        <is>
          <t>GTA-0849</t>
        </is>
      </c>
      <c r="D92" t="inlineStr">
        <is>
          <t>In Progress</t>
        </is>
      </c>
      <c r="E92" t="inlineStr">
        <is>
          <t>Blocker</t>
        </is>
      </c>
      <c r="F92" t="inlineStr"/>
      <c r="G92" t="inlineStr">
        <is>
          <t>Carl Johnson</t>
        </is>
      </c>
      <c r="H92" t="inlineStr">
        <is>
          <t>Big Smoke</t>
        </is>
      </c>
      <c r="I92" s="1" t="n">
        <v>45922.38055555556</v>
      </c>
      <c r="J92" t="n">
        <v>100</v>
      </c>
      <c r="K92" t="inlineStr">
        <is>
          <t xml:space="preserve"> </t>
        </is>
      </c>
      <c r="L92" t="inlineStr">
        <is>
          <t>Los Santos</t>
        </is>
      </c>
      <c r="M92" s="2">
        <f>HYPERLINK("https://tychesoftware.atlassian.net/browse/GTA-0849", "Go to")</f>
        <v/>
      </c>
    </row>
    <row r="93">
      <c r="A93" t="n">
        <v>92</v>
      </c>
      <c r="B93" t="inlineStr">
        <is>
          <t>Life's a Beach</t>
        </is>
      </c>
      <c r="C93" t="inlineStr">
        <is>
          <t>GTA-9726</t>
        </is>
      </c>
      <c r="D93" t="inlineStr">
        <is>
          <t>Closed</t>
        </is>
      </c>
      <c r="E93" t="inlineStr">
        <is>
          <t>High</t>
        </is>
      </c>
      <c r="F93" t="inlineStr">
        <is>
          <t>Done</t>
        </is>
      </c>
      <c r="G93" t="inlineStr">
        <is>
          <t>Carl Johnson</t>
        </is>
      </c>
      <c r="H93" t="inlineStr">
        <is>
          <t>OG Loc</t>
        </is>
      </c>
      <c r="I93" s="1" t="n">
        <v>45915.83819444444</v>
      </c>
      <c r="J93" t="n">
        <v>106</v>
      </c>
      <c r="K93" s="1" t="n">
        <v>45935.99930555555</v>
      </c>
      <c r="L93" t="inlineStr">
        <is>
          <t>Los Santos</t>
        </is>
      </c>
      <c r="M93" s="2">
        <f>HYPERLINK("https://tychesoftware.atlassian.net/browse/GTA-9726", "Go to")</f>
        <v/>
      </c>
    </row>
    <row r="94">
      <c r="A94" t="n">
        <v>93</v>
      </c>
      <c r="B94" t="inlineStr">
        <is>
          <t>Madd Dogg's Rhymes</t>
        </is>
      </c>
      <c r="C94" t="inlineStr">
        <is>
          <t>GTA-4381</t>
        </is>
      </c>
      <c r="D94" t="inlineStr">
        <is>
          <t>Validation</t>
        </is>
      </c>
      <c r="E94" t="inlineStr">
        <is>
          <t>Blocker</t>
        </is>
      </c>
      <c r="F94" t="inlineStr"/>
      <c r="G94" t="inlineStr">
        <is>
          <t>Carl Johnson</t>
        </is>
      </c>
      <c r="H94" t="inlineStr">
        <is>
          <t>OG Loc</t>
        </is>
      </c>
      <c r="I94" s="1" t="n">
        <v>45965.03055555555</v>
      </c>
      <c r="J94" t="n">
        <v>57</v>
      </c>
      <c r="K94" t="inlineStr">
        <is>
          <t xml:space="preserve"> </t>
        </is>
      </c>
      <c r="L94" t="inlineStr">
        <is>
          <t>Los Santos</t>
        </is>
      </c>
      <c r="M94" s="2">
        <f>HYPERLINK("https://tychesoftware.atlassian.net/browse/GTA-4381", "Go to")</f>
        <v/>
      </c>
    </row>
    <row r="95">
      <c r="A95" t="n">
        <v>94</v>
      </c>
      <c r="B95" t="inlineStr">
        <is>
          <t>Management Issues</t>
        </is>
      </c>
      <c r="C95" t="inlineStr">
        <is>
          <t>GTA-7054</t>
        </is>
      </c>
      <c r="D95" t="inlineStr">
        <is>
          <t>To Do</t>
        </is>
      </c>
      <c r="E95" t="inlineStr">
        <is>
          <t>Medium</t>
        </is>
      </c>
      <c r="F95" t="inlineStr"/>
      <c r="G95" t="inlineStr">
        <is>
          <t>Carl Johnson</t>
        </is>
      </c>
      <c r="H95" t="inlineStr">
        <is>
          <t>OG Loc</t>
        </is>
      </c>
      <c r="I95" s="1" t="n">
        <v>45955.11041666667</v>
      </c>
      <c r="J95" t="n">
        <v>67</v>
      </c>
      <c r="K95" t="inlineStr">
        <is>
          <t xml:space="preserve"> </t>
        </is>
      </c>
      <c r="L95" t="inlineStr">
        <is>
          <t>Los Santos</t>
        </is>
      </c>
      <c r="M95" s="2">
        <f>HYPERLINK("https://tychesoftware.atlassian.net/browse/GTA-7054", "Go to")</f>
        <v/>
      </c>
    </row>
    <row r="96">
      <c r="A96" t="n">
        <v>95</v>
      </c>
      <c r="B96" t="inlineStr">
        <is>
          <t>House Party</t>
        </is>
      </c>
      <c r="C96" t="inlineStr">
        <is>
          <t>GTA-2169</t>
        </is>
      </c>
      <c r="D96" t="inlineStr">
        <is>
          <t>Closed</t>
        </is>
      </c>
      <c r="E96" t="inlineStr">
        <is>
          <t>High</t>
        </is>
      </c>
      <c r="F96" t="inlineStr">
        <is>
          <t>Done</t>
        </is>
      </c>
      <c r="G96" t="inlineStr">
        <is>
          <t>Carl Johnson</t>
        </is>
      </c>
      <c r="H96" t="inlineStr">
        <is>
          <t>OG Loc</t>
        </is>
      </c>
      <c r="I96" s="1" t="n">
        <v>45877.96527777778</v>
      </c>
      <c r="J96" t="n">
        <v>144</v>
      </c>
      <c r="K96" s="1" t="n">
        <v>45938.99930555555</v>
      </c>
      <c r="L96" t="inlineStr">
        <is>
          <t>Los Santos</t>
        </is>
      </c>
      <c r="M96" s="2">
        <f>HYPERLINK("https://tychesoftware.atlassian.net/browse/GTA-2169", "Go to")</f>
        <v/>
      </c>
    </row>
    <row r="97">
      <c r="A97" t="n">
        <v>96</v>
      </c>
      <c r="B97" t="inlineStr">
        <is>
          <t>Burning Desire</t>
        </is>
      </c>
      <c r="C97" t="inlineStr">
        <is>
          <t>GTA-8907</t>
        </is>
      </c>
      <c r="D97" t="inlineStr">
        <is>
          <t>In Progress</t>
        </is>
      </c>
      <c r="E97" t="inlineStr">
        <is>
          <t>High</t>
        </is>
      </c>
      <c r="F97" t="inlineStr"/>
      <c r="G97" t="inlineStr">
        <is>
          <t>Carl Johnson</t>
        </is>
      </c>
      <c r="H97" t="inlineStr">
        <is>
          <t>CRASH</t>
        </is>
      </c>
      <c r="I97" s="1" t="n">
        <v>45875.51458333333</v>
      </c>
      <c r="J97" t="n">
        <v>147</v>
      </c>
      <c r="K97" t="inlineStr">
        <is>
          <t xml:space="preserve"> </t>
        </is>
      </c>
      <c r="L97" t="inlineStr">
        <is>
          <t>Los Santos</t>
        </is>
      </c>
      <c r="M97" s="2">
        <f>HYPERLINK("https://tychesoftware.atlassian.net/browse/GTA-8907", "Go to")</f>
        <v/>
      </c>
    </row>
    <row r="98">
      <c r="A98" t="n">
        <v>97</v>
      </c>
      <c r="B98" t="inlineStr">
        <is>
          <t>Gray Imports</t>
        </is>
      </c>
      <c r="C98" t="inlineStr">
        <is>
          <t>GTA-5638</t>
        </is>
      </c>
      <c r="D98" t="inlineStr">
        <is>
          <t>Validation</t>
        </is>
      </c>
      <c r="E98" t="inlineStr">
        <is>
          <t>High</t>
        </is>
      </c>
      <c r="F98" t="inlineStr"/>
      <c r="G98" t="inlineStr">
        <is>
          <t>Carl Johnson</t>
        </is>
      </c>
      <c r="H98" t="inlineStr">
        <is>
          <t>CRASH</t>
        </is>
      </c>
      <c r="I98" s="1" t="n">
        <v>45912.41736111111</v>
      </c>
      <c r="J98" t="n">
        <v>110</v>
      </c>
      <c r="K98" t="inlineStr">
        <is>
          <t xml:space="preserve"> </t>
        </is>
      </c>
      <c r="L98" t="inlineStr">
        <is>
          <t>Los Santos</t>
        </is>
      </c>
      <c r="M98" s="2">
        <f>HYPERLINK("https://tychesoftware.atlassian.net/browse/GTA-5638", "Go to")</f>
        <v/>
      </c>
    </row>
    <row r="99">
      <c r="A99" t="n">
        <v>98</v>
      </c>
      <c r="B99" t="inlineStr">
        <is>
          <t>Doberman</t>
        </is>
      </c>
      <c r="C99" t="inlineStr">
        <is>
          <t>GTA-1492</t>
        </is>
      </c>
      <c r="D99" t="inlineStr">
        <is>
          <t>To Do</t>
        </is>
      </c>
      <c r="E99" t="inlineStr">
        <is>
          <t>Medium</t>
        </is>
      </c>
      <c r="F99" t="inlineStr"/>
      <c r="G99" t="inlineStr">
        <is>
          <t>Carl Johnson</t>
        </is>
      </c>
      <c r="H99" t="inlineStr">
        <is>
          <t>Sweet</t>
        </is>
      </c>
      <c r="I99" s="1" t="n">
        <v>45855.92083333333</v>
      </c>
      <c r="J99" t="n">
        <v>166</v>
      </c>
      <c r="K99" t="inlineStr">
        <is>
          <t xml:space="preserve"> </t>
        </is>
      </c>
      <c r="L99" t="inlineStr">
        <is>
          <t>Los Santos</t>
        </is>
      </c>
      <c r="M99" s="2">
        <f>HYPERLINK("https://tychesoftware.atlassian.net/browse/GTA-1492", "Go to")</f>
        <v/>
      </c>
    </row>
    <row r="100">
      <c r="A100" t="n">
        <v>99</v>
      </c>
      <c r="B100" t="inlineStr">
        <is>
          <t>Los Sepulcros</t>
        </is>
      </c>
      <c r="C100" t="inlineStr">
        <is>
          <t>GTA-9378</t>
        </is>
      </c>
      <c r="D100" t="inlineStr">
        <is>
          <t>Closed</t>
        </is>
      </c>
      <c r="E100" t="inlineStr">
        <is>
          <t>Blocker</t>
        </is>
      </c>
      <c r="F100" t="inlineStr">
        <is>
          <t>Done</t>
        </is>
      </c>
      <c r="G100" t="inlineStr">
        <is>
          <t>Carl Johnson</t>
        </is>
      </c>
      <c r="H100" t="inlineStr">
        <is>
          <t>Sweet</t>
        </is>
      </c>
      <c r="I100" s="1" t="n">
        <v>45980.40972222222</v>
      </c>
      <c r="J100" t="n">
        <v>42</v>
      </c>
      <c r="K100" s="1" t="n">
        <v>46042.99930555555</v>
      </c>
      <c r="L100" t="inlineStr">
        <is>
          <t>Los Santos</t>
        </is>
      </c>
      <c r="M100" s="2">
        <f>HYPERLINK("https://tychesoftware.atlassian.net/browse/GTA-9378", "Go to")</f>
        <v/>
      </c>
    </row>
    <row r="101">
      <c r="A101" t="n">
        <v>100</v>
      </c>
      <c r="B101" t="inlineStr">
        <is>
          <t>Reuniting the Families</t>
        </is>
      </c>
      <c r="C101" t="inlineStr">
        <is>
          <t>GTA-4206</t>
        </is>
      </c>
      <c r="D101" t="inlineStr">
        <is>
          <t>In Progress</t>
        </is>
      </c>
      <c r="E101" t="inlineStr">
        <is>
          <t>Blocker</t>
        </is>
      </c>
      <c r="F101" t="inlineStr"/>
      <c r="G101" t="inlineStr">
        <is>
          <t>Carl Johnson</t>
        </is>
      </c>
      <c r="H101" t="inlineStr">
        <is>
          <t>Sweet</t>
        </is>
      </c>
      <c r="I101" s="1" t="n">
        <v>45937.75208333333</v>
      </c>
      <c r="J101" t="n">
        <v>84</v>
      </c>
      <c r="K101" t="inlineStr">
        <is>
          <t xml:space="preserve"> </t>
        </is>
      </c>
      <c r="L101" t="inlineStr">
        <is>
          <t>Los Santos</t>
        </is>
      </c>
      <c r="M101" s="2">
        <f>HYPERLINK("https://tychesoftware.atlassian.net/browse/GTA-4206", "Go to")</f>
        <v/>
      </c>
    </row>
    <row r="102">
      <c r="A102" t="n">
        <v>101</v>
      </c>
      <c r="B102" t="inlineStr">
        <is>
          <t>The Green Sabre</t>
        </is>
      </c>
      <c r="C102" t="inlineStr">
        <is>
          <t>GTA-6819</t>
        </is>
      </c>
      <c r="D102" t="inlineStr">
        <is>
          <t>Validation</t>
        </is>
      </c>
      <c r="E102" t="inlineStr">
        <is>
          <t>High</t>
        </is>
      </c>
      <c r="F102" t="inlineStr"/>
      <c r="G102" t="inlineStr">
        <is>
          <t>Carl Johnson</t>
        </is>
      </c>
      <c r="H102" t="inlineStr">
        <is>
          <t>Sweet</t>
        </is>
      </c>
      <c r="I102" s="1" t="n">
        <v>45927.30208333334</v>
      </c>
      <c r="J102" t="n">
        <v>95</v>
      </c>
      <c r="K102" t="inlineStr">
        <is>
          <t xml:space="preserve"> </t>
        </is>
      </c>
      <c r="L102" t="inlineStr">
        <is>
          <t>Los Santos</t>
        </is>
      </c>
      <c r="M102" s="2">
        <f>HYPERLINK("https://tychesoftware.atlassian.net/browse/GTA-6819", "Go to")</f>
        <v/>
      </c>
    </row>
    <row r="103">
      <c r="A103" t="n">
        <v>102</v>
      </c>
      <c r="B103" t="inlineStr">
        <is>
          <t>Badlands</t>
        </is>
      </c>
      <c r="C103" t="inlineStr">
        <is>
          <t>GTA-0725</t>
        </is>
      </c>
      <c r="D103" t="inlineStr">
        <is>
          <t>Closed</t>
        </is>
      </c>
      <c r="E103" t="inlineStr">
        <is>
          <t>Blocker</t>
        </is>
      </c>
      <c r="F103" t="inlineStr">
        <is>
          <t>Done</t>
        </is>
      </c>
      <c r="G103" t="inlineStr">
        <is>
          <t>Carl Johnson</t>
        </is>
      </c>
      <c r="H103" t="inlineStr">
        <is>
          <t>CRASH</t>
        </is>
      </c>
      <c r="I103" s="1" t="n">
        <v>45974.13958333333</v>
      </c>
      <c r="J103" t="n">
        <v>48</v>
      </c>
      <c r="K103" s="1" t="n">
        <v>46045.99930555555</v>
      </c>
      <c r="L103" t="inlineStr">
        <is>
          <t>Badlands</t>
        </is>
      </c>
      <c r="M103" s="2">
        <f>HYPERLINK("https://tychesoftware.atlassian.net/browse/GTA-0725", "Go to")</f>
        <v/>
      </c>
    </row>
    <row r="104">
      <c r="A104" t="n">
        <v>103</v>
      </c>
      <c r="B104" t="inlineStr">
        <is>
          <t>First Date</t>
        </is>
      </c>
      <c r="C104" t="inlineStr">
        <is>
          <t>GTA-8543</t>
        </is>
      </c>
      <c r="D104" t="inlineStr">
        <is>
          <t>To Do</t>
        </is>
      </c>
      <c r="E104" t="inlineStr">
        <is>
          <t>Medium</t>
        </is>
      </c>
      <c r="F104" t="inlineStr"/>
      <c r="G104" t="inlineStr">
        <is>
          <t>Carl Johnson</t>
        </is>
      </c>
      <c r="H104" t="inlineStr">
        <is>
          <t>Catalina</t>
        </is>
      </c>
      <c r="I104" s="1" t="n">
        <v>45910.67847222222</v>
      </c>
      <c r="J104" t="n">
        <v>111</v>
      </c>
      <c r="K104" t="inlineStr">
        <is>
          <t xml:space="preserve"> </t>
        </is>
      </c>
      <c r="L104" t="inlineStr">
        <is>
          <t>Badlands</t>
        </is>
      </c>
      <c r="M104" s="2">
        <f>HYPERLINK("https://tychesoftware.atlassian.net/browse/GTA-8543", "Go to")</f>
        <v/>
      </c>
    </row>
    <row r="105">
      <c r="A105" t="n">
        <v>104</v>
      </c>
      <c r="B105" t="inlineStr">
        <is>
          <t>Tank Commander</t>
        </is>
      </c>
      <c r="C105" t="inlineStr">
        <is>
          <t>GTA-3910</t>
        </is>
      </c>
      <c r="D105" t="inlineStr">
        <is>
          <t>In Progress</t>
        </is>
      </c>
      <c r="E105" t="inlineStr">
        <is>
          <t>Medium</t>
        </is>
      </c>
      <c r="F105" t="inlineStr"/>
      <c r="G105" t="inlineStr">
        <is>
          <t>Carl Johnson</t>
        </is>
      </c>
      <c r="H105" t="inlineStr">
        <is>
          <t>Catalina</t>
        </is>
      </c>
      <c r="I105" s="1" t="n">
        <v>45961.40277777778</v>
      </c>
      <c r="J105" t="n">
        <v>61</v>
      </c>
      <c r="K105" t="inlineStr">
        <is>
          <t xml:space="preserve"> </t>
        </is>
      </c>
      <c r="L105" t="inlineStr">
        <is>
          <t>Badlands</t>
        </is>
      </c>
      <c r="M105" s="2">
        <f>HYPERLINK("https://tychesoftware.atlassian.net/browse/GTA-3910", "Go to")</f>
        <v/>
      </c>
    </row>
    <row r="106">
      <c r="A106" t="n">
        <v>105</v>
      </c>
      <c r="B106" t="inlineStr">
        <is>
          <t>Body Harvest</t>
        </is>
      </c>
      <c r="C106" t="inlineStr">
        <is>
          <t>GTA-7068</t>
        </is>
      </c>
      <c r="D106" t="inlineStr">
        <is>
          <t>Validation</t>
        </is>
      </c>
      <c r="E106" t="inlineStr">
        <is>
          <t>Blocker</t>
        </is>
      </c>
      <c r="F106" t="inlineStr"/>
      <c r="G106" t="inlineStr">
        <is>
          <t>Carl Johnson</t>
        </is>
      </c>
      <c r="H106" t="inlineStr">
        <is>
          <t>Truth</t>
        </is>
      </c>
      <c r="I106" s="1" t="n">
        <v>45882.72708333333</v>
      </c>
      <c r="J106" t="n">
        <v>139</v>
      </c>
      <c r="K106" t="inlineStr">
        <is>
          <t xml:space="preserve"> </t>
        </is>
      </c>
      <c r="L106" t="inlineStr">
        <is>
          <t>Badlands</t>
        </is>
      </c>
      <c r="M106" s="2">
        <f>HYPERLINK("https://tychesoftware.atlassian.net/browse/GTA-7068", "Go to")</f>
        <v/>
      </c>
    </row>
    <row r="107">
      <c r="A107" t="n">
        <v>106</v>
      </c>
      <c r="B107" t="inlineStr">
        <is>
          <t>King in Exile</t>
        </is>
      </c>
      <c r="C107" t="inlineStr">
        <is>
          <t>GTA-2581</t>
        </is>
      </c>
      <c r="D107" t="inlineStr">
        <is>
          <t>Closed</t>
        </is>
      </c>
      <c r="E107" t="inlineStr">
        <is>
          <t>High</t>
        </is>
      </c>
      <c r="F107" t="inlineStr">
        <is>
          <t>Done</t>
        </is>
      </c>
      <c r="G107" t="inlineStr">
        <is>
          <t>Carl Johnson</t>
        </is>
      </c>
      <c r="H107" t="inlineStr">
        <is>
          <t>Catalina</t>
        </is>
      </c>
      <c r="I107" s="1" t="n">
        <v>45907.59861111111</v>
      </c>
      <c r="J107" t="n">
        <v>114</v>
      </c>
      <c r="K107" s="1" t="n">
        <v>45949.99930555555</v>
      </c>
      <c r="L107" t="inlineStr">
        <is>
          <t>Badlands</t>
        </is>
      </c>
      <c r="M107" s="2">
        <f>HYPERLINK("https://tychesoftware.atlassian.net/browse/GTA-2581", "Go to")</f>
        <v/>
      </c>
    </row>
    <row r="108">
      <c r="A108" t="n">
        <v>107</v>
      </c>
      <c r="B108" t="inlineStr">
        <is>
          <t>First Base</t>
        </is>
      </c>
      <c r="C108" t="inlineStr">
        <is>
          <t>GTA-6497</t>
        </is>
      </c>
      <c r="D108" t="inlineStr">
        <is>
          <t>To Do</t>
        </is>
      </c>
      <c r="E108" t="inlineStr">
        <is>
          <t>Medium</t>
        </is>
      </c>
      <c r="F108" t="inlineStr"/>
      <c r="G108" t="inlineStr">
        <is>
          <t>Carl Johnson</t>
        </is>
      </c>
      <c r="H108" t="inlineStr">
        <is>
          <t>Catalina</t>
        </is>
      </c>
      <c r="I108" s="1" t="n">
        <v>45989.48125</v>
      </c>
      <c r="J108" t="n">
        <v>33</v>
      </c>
      <c r="K108" t="inlineStr">
        <is>
          <t xml:space="preserve"> </t>
        </is>
      </c>
      <c r="L108" t="inlineStr">
        <is>
          <t>Badlands</t>
        </is>
      </c>
      <c r="M108" s="2">
        <f>HYPERLINK("https://tychesoftware.atlassian.net/browse/GTA-6497", "Go to")</f>
        <v/>
      </c>
    </row>
    <row r="109">
      <c r="A109" t="n">
        <v>108</v>
      </c>
      <c r="B109" t="inlineStr">
        <is>
          <t>Gone Courting</t>
        </is>
      </c>
      <c r="C109" t="inlineStr">
        <is>
          <t>GTA-0934</t>
        </is>
      </c>
      <c r="D109" t="inlineStr">
        <is>
          <t>In Progress</t>
        </is>
      </c>
      <c r="E109" t="inlineStr">
        <is>
          <t>Medium</t>
        </is>
      </c>
      <c r="F109" t="inlineStr"/>
      <c r="G109" t="inlineStr">
        <is>
          <t>Carl Johnson</t>
        </is>
      </c>
      <c r="H109" t="inlineStr">
        <is>
          <t>Catalina</t>
        </is>
      </c>
      <c r="I109" s="1" t="n">
        <v>45856.87291666667</v>
      </c>
      <c r="J109" t="n">
        <v>165</v>
      </c>
      <c r="K109" t="inlineStr">
        <is>
          <t xml:space="preserve"> </t>
        </is>
      </c>
      <c r="L109" t="inlineStr">
        <is>
          <t>Badlands</t>
        </is>
      </c>
      <c r="M109" s="2">
        <f>HYPERLINK("https://tychesoftware.atlassian.net/browse/GTA-0934", "Go to")</f>
        <v/>
      </c>
    </row>
    <row r="110">
      <c r="A110" t="n">
        <v>109</v>
      </c>
      <c r="B110" t="inlineStr">
        <is>
          <t>Against All Odds</t>
        </is>
      </c>
      <c r="C110" t="inlineStr">
        <is>
          <t>GTA-8752</t>
        </is>
      </c>
      <c r="D110" t="inlineStr">
        <is>
          <t>Validation</t>
        </is>
      </c>
      <c r="E110" t="inlineStr">
        <is>
          <t>Medium</t>
        </is>
      </c>
      <c r="F110" t="inlineStr"/>
      <c r="G110" t="inlineStr">
        <is>
          <t>Carl Johnson</t>
        </is>
      </c>
      <c r="H110" t="inlineStr">
        <is>
          <t>Catalina</t>
        </is>
      </c>
      <c r="I110" s="1" t="n">
        <v>45931.12847222222</v>
      </c>
      <c r="J110" t="n">
        <v>91</v>
      </c>
      <c r="K110" t="inlineStr">
        <is>
          <t xml:space="preserve"> </t>
        </is>
      </c>
      <c r="L110" t="inlineStr">
        <is>
          <t>Badlands</t>
        </is>
      </c>
      <c r="M110" s="2">
        <f>HYPERLINK("https://tychesoftware.atlassian.net/browse/GTA-8752", "Go to")</f>
        <v/>
      </c>
    </row>
    <row r="111">
      <c r="A111" t="n">
        <v>110</v>
      </c>
      <c r="B111" t="inlineStr">
        <is>
          <t>Local Liquor Store</t>
        </is>
      </c>
      <c r="C111" t="inlineStr">
        <is>
          <t>GTA-4619</t>
        </is>
      </c>
      <c r="D111" t="inlineStr">
        <is>
          <t>Closed</t>
        </is>
      </c>
      <c r="E111" t="inlineStr">
        <is>
          <t>High</t>
        </is>
      </c>
      <c r="F111" t="inlineStr">
        <is>
          <t>Done</t>
        </is>
      </c>
      <c r="G111" t="inlineStr">
        <is>
          <t>Carl Johnson</t>
        </is>
      </c>
      <c r="H111" t="inlineStr">
        <is>
          <t>Catalina</t>
        </is>
      </c>
      <c r="I111" s="1" t="n">
        <v>45923.3625</v>
      </c>
      <c r="J111" t="n">
        <v>99</v>
      </c>
      <c r="K111" s="1" t="n">
        <v>45953.99930555555</v>
      </c>
      <c r="L111" t="inlineStr">
        <is>
          <t>Badlands</t>
        </is>
      </c>
      <c r="M111" s="2">
        <f>HYPERLINK("https://tychesoftware.atlassian.net/browse/GTA-4619", "Go to")</f>
        <v/>
      </c>
    </row>
    <row r="112">
      <c r="A112" t="n">
        <v>111</v>
      </c>
      <c r="B112" t="inlineStr">
        <is>
          <t>Small Town Bank</t>
        </is>
      </c>
      <c r="C112" t="inlineStr">
        <is>
          <t>GTA-7325</t>
        </is>
      </c>
      <c r="D112" t="inlineStr">
        <is>
          <t>To Do</t>
        </is>
      </c>
      <c r="E112" t="inlineStr">
        <is>
          <t>High</t>
        </is>
      </c>
      <c r="F112" t="inlineStr"/>
      <c r="G112" t="inlineStr">
        <is>
          <t>Carl Johnson</t>
        </is>
      </c>
      <c r="H112" t="inlineStr">
        <is>
          <t>Catalina</t>
        </is>
      </c>
      <c r="I112" s="1" t="n">
        <v>45850.7875</v>
      </c>
      <c r="J112" t="n">
        <v>171</v>
      </c>
      <c r="K112" t="inlineStr">
        <is>
          <t xml:space="preserve"> </t>
        </is>
      </c>
      <c r="L112" t="inlineStr">
        <is>
          <t>Badlands</t>
        </is>
      </c>
      <c r="M112" s="2">
        <f>HYPERLINK("https://tychesoftware.atlassian.net/browse/GTA-7325", "Go to")</f>
        <v/>
      </c>
    </row>
    <row r="113">
      <c r="A113" t="n">
        <v>112</v>
      </c>
      <c r="B113" t="inlineStr">
        <is>
          <t>Wu Zi Mu</t>
        </is>
      </c>
      <c r="C113" t="inlineStr">
        <is>
          <t>GTA-1856</t>
        </is>
      </c>
      <c r="D113" t="inlineStr">
        <is>
          <t>In Progress</t>
        </is>
      </c>
      <c r="E113" t="inlineStr">
        <is>
          <t>High</t>
        </is>
      </c>
      <c r="F113" t="inlineStr"/>
      <c r="G113" t="inlineStr">
        <is>
          <t>Carl Johnson</t>
        </is>
      </c>
      <c r="H113" t="inlineStr">
        <is>
          <t>Woozie</t>
        </is>
      </c>
      <c r="I113" s="1" t="n">
        <v>45966.67430555556</v>
      </c>
      <c r="J113" t="n">
        <v>55</v>
      </c>
      <c r="K113" t="inlineStr">
        <is>
          <t xml:space="preserve"> </t>
        </is>
      </c>
      <c r="L113" t="inlineStr">
        <is>
          <t>Badlands</t>
        </is>
      </c>
      <c r="M113" s="2">
        <f>HYPERLINK("https://tychesoftware.atlassian.net/browse/GTA-1856", "Go to")</f>
        <v/>
      </c>
    </row>
    <row r="114">
      <c r="A114" t="n">
        <v>113</v>
      </c>
      <c r="B114" t="inlineStr">
        <is>
          <t>Farewell, My Love...</t>
        </is>
      </c>
      <c r="C114" t="inlineStr">
        <is>
          <t>GTA-9047</t>
        </is>
      </c>
      <c r="D114" t="inlineStr">
        <is>
          <t>Closed</t>
        </is>
      </c>
      <c r="E114" t="inlineStr">
        <is>
          <t>Medium</t>
        </is>
      </c>
      <c r="F114" t="inlineStr">
        <is>
          <t>Done</t>
        </is>
      </c>
      <c r="G114" t="inlineStr">
        <is>
          <t>Carl Johnson</t>
        </is>
      </c>
      <c r="H114" t="inlineStr">
        <is>
          <t>Carl</t>
        </is>
      </c>
      <c r="I114" s="1" t="n">
        <v>45953.24652777778</v>
      </c>
      <c r="J114" t="n">
        <v>69</v>
      </c>
      <c r="K114" s="1" t="n">
        <v>45956.99930555555</v>
      </c>
      <c r="L114" t="inlineStr">
        <is>
          <t>Badlands</t>
        </is>
      </c>
      <c r="M114" s="2">
        <f>HYPERLINK("https://tychesoftware.atlassian.net/browse/GTA-9047", "Go to")</f>
        <v/>
      </c>
    </row>
    <row r="115">
      <c r="A115" t="n">
        <v>114</v>
      </c>
      <c r="B115" t="inlineStr">
        <is>
          <t>Are You Going to San Fierro?</t>
        </is>
      </c>
      <c r="C115" t="inlineStr">
        <is>
          <t>GTA-5380</t>
        </is>
      </c>
      <c r="D115" t="inlineStr">
        <is>
          <t>Validation</t>
        </is>
      </c>
      <c r="E115" t="inlineStr">
        <is>
          <t>High</t>
        </is>
      </c>
      <c r="F115" t="inlineStr"/>
      <c r="G115" t="inlineStr">
        <is>
          <t>Carl Johnson</t>
        </is>
      </c>
      <c r="H115" t="inlineStr">
        <is>
          <t>Truth</t>
        </is>
      </c>
      <c r="I115" s="1" t="n">
        <v>45889.42638888889</v>
      </c>
      <c r="J115" t="n">
        <v>133</v>
      </c>
      <c r="K115" t="inlineStr">
        <is>
          <t xml:space="preserve"> </t>
        </is>
      </c>
      <c r="L115" t="inlineStr">
        <is>
          <t>Badlands</t>
        </is>
      </c>
      <c r="M115" s="2">
        <f>HYPERLINK("https://tychesoftware.atlassian.net/browse/GTA-5380", "Go to")</f>
        <v/>
      </c>
    </row>
    <row r="116">
      <c r="A116" t="n">
        <v>115</v>
      </c>
      <c r="B116" t="inlineStr">
        <is>
          <t>Wear Flowers in Your Hair</t>
        </is>
      </c>
      <c r="C116" t="inlineStr">
        <is>
          <t>GTA-2719</t>
        </is>
      </c>
      <c r="D116" t="inlineStr">
        <is>
          <t>To Do</t>
        </is>
      </c>
      <c r="E116" t="inlineStr">
        <is>
          <t>Blocker</t>
        </is>
      </c>
      <c r="F116" t="inlineStr"/>
      <c r="G116" t="inlineStr">
        <is>
          <t>Carl Johnson</t>
        </is>
      </c>
      <c r="H116" t="inlineStr">
        <is>
          <t>Truth</t>
        </is>
      </c>
      <c r="I116" s="1" t="n">
        <v>45942.82638888889</v>
      </c>
      <c r="J116" t="n">
        <v>79</v>
      </c>
      <c r="K116" t="inlineStr">
        <is>
          <t xml:space="preserve"> </t>
        </is>
      </c>
      <c r="L116" t="inlineStr">
        <is>
          <t>San Fierro</t>
        </is>
      </c>
      <c r="M116" s="2">
        <f>HYPERLINK("https://tychesoftware.atlassian.net/browse/GTA-2719", "Go to")</f>
        <v/>
      </c>
    </row>
    <row r="117">
      <c r="A117" t="n">
        <v>116</v>
      </c>
      <c r="B117" t="inlineStr">
        <is>
          <t>555 We Tip</t>
        </is>
      </c>
      <c r="C117" t="inlineStr">
        <is>
          <t>GTA-6845</t>
        </is>
      </c>
      <c r="D117" t="inlineStr">
        <is>
          <t>Closed</t>
        </is>
      </c>
      <c r="E117" t="inlineStr">
        <is>
          <t>High</t>
        </is>
      </c>
      <c r="F117" t="inlineStr">
        <is>
          <t>Done</t>
        </is>
      </c>
      <c r="G117" t="inlineStr">
        <is>
          <t>Carl Johnson</t>
        </is>
      </c>
      <c r="H117" t="inlineStr">
        <is>
          <t>CRASH</t>
        </is>
      </c>
      <c r="I117" s="1" t="n">
        <v>45848.04027777778</v>
      </c>
      <c r="J117" t="n">
        <v>174</v>
      </c>
      <c r="K117" s="1" t="n">
        <v>45959.99930555555</v>
      </c>
      <c r="L117" t="inlineStr">
        <is>
          <t>San Fierro</t>
        </is>
      </c>
      <c r="M117" s="2">
        <f>HYPERLINK("https://tychesoftware.atlassian.net/browse/GTA-6845", "Go to")</f>
        <v/>
      </c>
    </row>
    <row r="118">
      <c r="A118" t="n">
        <v>117</v>
      </c>
      <c r="B118" t="inlineStr">
        <is>
          <t>Deconstruction</t>
        </is>
      </c>
      <c r="C118" t="inlineStr">
        <is>
          <t>GTA-0178</t>
        </is>
      </c>
      <c r="D118" t="inlineStr">
        <is>
          <t>In Progress</t>
        </is>
      </c>
      <c r="E118" t="inlineStr">
        <is>
          <t>Blocker</t>
        </is>
      </c>
      <c r="F118" t="inlineStr"/>
      <c r="G118" t="inlineStr">
        <is>
          <t>Carl Johnson</t>
        </is>
      </c>
      <c r="H118" t="inlineStr">
        <is>
          <t>Carl</t>
        </is>
      </c>
      <c r="I118" s="1" t="n">
        <v>45849.92569444444</v>
      </c>
      <c r="J118" t="n">
        <v>172</v>
      </c>
      <c r="K118" t="inlineStr">
        <is>
          <t xml:space="preserve"> </t>
        </is>
      </c>
      <c r="L118" t="inlineStr">
        <is>
          <t>San Fierro</t>
        </is>
      </c>
      <c r="M118" s="2">
        <f>HYPERLINK("https://tychesoftware.atlassian.net/browse/GTA-0178", "Go to")</f>
        <v/>
      </c>
    </row>
    <row r="119">
      <c r="A119" t="n">
        <v>118</v>
      </c>
      <c r="B119" t="inlineStr">
        <is>
          <t>Photo Opportunity</t>
        </is>
      </c>
      <c r="C119" t="inlineStr">
        <is>
          <t>GTA-9624</t>
        </is>
      </c>
      <c r="D119" t="inlineStr">
        <is>
          <t>Validation</t>
        </is>
      </c>
      <c r="E119" t="inlineStr">
        <is>
          <t>Medium</t>
        </is>
      </c>
      <c r="F119" t="inlineStr"/>
      <c r="G119" t="inlineStr">
        <is>
          <t>Carl Johnson</t>
        </is>
      </c>
      <c r="H119" t="inlineStr">
        <is>
          <t>Cesar</t>
        </is>
      </c>
      <c r="I119" s="1" t="n">
        <v>45849.92569444444</v>
      </c>
      <c r="J119" t="n">
        <v>172</v>
      </c>
      <c r="K119" t="inlineStr">
        <is>
          <t xml:space="preserve"> </t>
        </is>
      </c>
      <c r="L119" t="inlineStr">
        <is>
          <t>San Fierro</t>
        </is>
      </c>
      <c r="M119" s="2">
        <f>HYPERLINK("https://tychesoftware.atlassian.net/browse/GTA-9624", "Go to")</f>
        <v/>
      </c>
    </row>
    <row r="120">
      <c r="A120" t="n">
        <v>119</v>
      </c>
      <c r="B120" t="inlineStr">
        <is>
          <t>Jizzy</t>
        </is>
      </c>
      <c r="C120" t="inlineStr">
        <is>
          <t>GTA-4093</t>
        </is>
      </c>
      <c r="D120" t="inlineStr">
        <is>
          <t>To Do</t>
        </is>
      </c>
      <c r="E120" t="inlineStr">
        <is>
          <t>High</t>
        </is>
      </c>
      <c r="F120" t="inlineStr"/>
      <c r="G120" t="inlineStr">
        <is>
          <t>Carl Johnson</t>
        </is>
      </c>
      <c r="H120" t="inlineStr">
        <is>
          <t>Jizzy</t>
        </is>
      </c>
      <c r="I120" s="1" t="n">
        <v>45862.41458333333</v>
      </c>
      <c r="J120" t="n">
        <v>160</v>
      </c>
      <c r="K120" t="inlineStr">
        <is>
          <t xml:space="preserve"> </t>
        </is>
      </c>
      <c r="L120" t="inlineStr">
        <is>
          <t>San Fierro</t>
        </is>
      </c>
      <c r="M120" s="2">
        <f>HYPERLINK("https://tychesoftware.atlassian.net/browse/GTA-4093", "Go to")</f>
        <v/>
      </c>
    </row>
    <row r="121">
      <c r="A121" t="n">
        <v>120</v>
      </c>
      <c r="B121" t="inlineStr">
        <is>
          <t>Outrider</t>
        </is>
      </c>
      <c r="C121" t="inlineStr">
        <is>
          <t>GTA-7516</t>
        </is>
      </c>
      <c r="D121" t="inlineStr">
        <is>
          <t>Closed</t>
        </is>
      </c>
      <c r="E121" t="inlineStr">
        <is>
          <t>High</t>
        </is>
      </c>
      <c r="F121" t="inlineStr">
        <is>
          <t>Done</t>
        </is>
      </c>
      <c r="G121" t="inlineStr">
        <is>
          <t>Carl Johnson</t>
        </is>
      </c>
      <c r="H121" t="inlineStr">
        <is>
          <t>Jizzy</t>
        </is>
      </c>
      <c r="I121" s="1" t="n">
        <v>45873.69722222222</v>
      </c>
      <c r="J121" t="n">
        <v>148</v>
      </c>
      <c r="K121" s="1" t="n">
        <v>45963.99930555555</v>
      </c>
      <c r="L121" t="inlineStr">
        <is>
          <t>San Fierro</t>
        </is>
      </c>
      <c r="M121" s="2">
        <f>HYPERLINK("https://tychesoftware.atlassian.net/browse/GTA-7516", "Go to")</f>
        <v/>
      </c>
    </row>
    <row r="122">
      <c r="A122" t="n">
        <v>121</v>
      </c>
      <c r="B122" t="inlineStr">
        <is>
          <t>Snail Trail</t>
        </is>
      </c>
      <c r="C122" t="inlineStr">
        <is>
          <t>GTA-3268</t>
        </is>
      </c>
      <c r="D122" t="inlineStr">
        <is>
          <t>In Progress</t>
        </is>
      </c>
      <c r="E122" t="inlineStr">
        <is>
          <t>Medium</t>
        </is>
      </c>
      <c r="F122" t="inlineStr"/>
      <c r="G122" t="inlineStr">
        <is>
          <t>Carl Johnson</t>
        </is>
      </c>
      <c r="H122" t="inlineStr">
        <is>
          <t>CRASH</t>
        </is>
      </c>
      <c r="I122" s="1" t="n">
        <v>45890.35138888889</v>
      </c>
      <c r="J122" t="n">
        <v>132</v>
      </c>
      <c r="K122" t="inlineStr">
        <is>
          <t xml:space="preserve"> </t>
        </is>
      </c>
      <c r="L122" t="inlineStr">
        <is>
          <t>San Fierro</t>
        </is>
      </c>
      <c r="M122" s="2">
        <f>HYPERLINK("https://tychesoftware.atlassian.net/browse/GTA-3268", "Go to")</f>
        <v/>
      </c>
    </row>
    <row r="123">
      <c r="A123" t="n">
        <v>122</v>
      </c>
      <c r="B123" t="inlineStr">
        <is>
          <t>Ice Cold Killa</t>
        </is>
      </c>
      <c r="C123" t="inlineStr">
        <is>
          <t>GTA-5902</t>
        </is>
      </c>
      <c r="D123" t="inlineStr">
        <is>
          <t>Validation</t>
        </is>
      </c>
      <c r="E123" t="inlineStr">
        <is>
          <t>High</t>
        </is>
      </c>
      <c r="F123" t="inlineStr"/>
      <c r="G123" t="inlineStr">
        <is>
          <t>Carl Johnson</t>
        </is>
      </c>
      <c r="H123" t="inlineStr">
        <is>
          <t>Cesar</t>
        </is>
      </c>
      <c r="I123" s="1" t="n">
        <v>45917.48263888889</v>
      </c>
      <c r="J123" t="n">
        <v>105</v>
      </c>
      <c r="K123" t="inlineStr">
        <is>
          <t xml:space="preserve"> </t>
        </is>
      </c>
      <c r="L123" t="inlineStr">
        <is>
          <t>San Fierro</t>
        </is>
      </c>
      <c r="M123" s="2">
        <f>HYPERLINK("https://tychesoftware.atlassian.net/browse/GTA-5902", "Go to")</f>
        <v/>
      </c>
    </row>
    <row r="124">
      <c r="A124" t="n">
        <v>123</v>
      </c>
      <c r="B124" t="inlineStr">
        <is>
          <t>Pier 69</t>
        </is>
      </c>
      <c r="C124" t="inlineStr">
        <is>
          <t>GTA-1487</t>
        </is>
      </c>
      <c r="D124" t="inlineStr">
        <is>
          <t>Closed</t>
        </is>
      </c>
      <c r="E124" t="inlineStr">
        <is>
          <t>Medium</t>
        </is>
      </c>
      <c r="F124" t="inlineStr">
        <is>
          <t>Done</t>
        </is>
      </c>
      <c r="G124" t="inlineStr">
        <is>
          <t>Carl Johnson</t>
        </is>
      </c>
      <c r="H124" t="inlineStr">
        <is>
          <t>Cesar</t>
        </is>
      </c>
      <c r="I124" s="1" t="n">
        <v>45894.61805555555</v>
      </c>
      <c r="J124" t="n">
        <v>127</v>
      </c>
      <c r="K124" s="1" t="n">
        <v>45966.99930555555</v>
      </c>
      <c r="L124" t="inlineStr">
        <is>
          <t>San Fierro</t>
        </is>
      </c>
      <c r="M124" s="2">
        <f>HYPERLINK("https://tychesoftware.atlassian.net/browse/GTA-1487", "Go to")</f>
        <v/>
      </c>
    </row>
    <row r="125">
      <c r="A125" t="n">
        <v>124</v>
      </c>
      <c r="B125" t="inlineStr">
        <is>
          <t>Toreno's Last Flight</t>
        </is>
      </c>
      <c r="C125" t="inlineStr">
        <is>
          <t>GTA-8376</t>
        </is>
      </c>
      <c r="D125" t="inlineStr">
        <is>
          <t>To Do</t>
        </is>
      </c>
      <c r="E125" t="inlineStr">
        <is>
          <t>Blocker</t>
        </is>
      </c>
      <c r="F125" t="inlineStr"/>
      <c r="G125" t="inlineStr">
        <is>
          <t>Carl Johnson</t>
        </is>
      </c>
      <c r="H125" t="inlineStr">
        <is>
          <t>Woozie</t>
        </is>
      </c>
      <c r="I125" s="1" t="n">
        <v>45944.04305555556</v>
      </c>
      <c r="J125" t="n">
        <v>78</v>
      </c>
      <c r="K125" t="inlineStr">
        <is>
          <t xml:space="preserve"> </t>
        </is>
      </c>
      <c r="L125" t="inlineStr">
        <is>
          <t>San Fierro</t>
        </is>
      </c>
      <c r="M125" s="2">
        <f>HYPERLINK("https://tychesoftware.atlassian.net/browse/GTA-8376", "Go to")</f>
        <v/>
      </c>
    </row>
    <row r="126">
      <c r="A126" t="n">
        <v>125</v>
      </c>
      <c r="B126" t="inlineStr">
        <is>
          <t>Mountain Cloud Boys</t>
        </is>
      </c>
      <c r="C126" t="inlineStr">
        <is>
          <t>GTA-4625</t>
        </is>
      </c>
      <c r="D126" t="inlineStr">
        <is>
          <t>In Progress</t>
        </is>
      </c>
      <c r="E126" t="inlineStr">
        <is>
          <t>High</t>
        </is>
      </c>
      <c r="F126" t="inlineStr"/>
      <c r="G126" t="inlineStr">
        <is>
          <t>Carl Johnson</t>
        </is>
      </c>
      <c r="H126" t="inlineStr">
        <is>
          <t>Woozie</t>
        </is>
      </c>
      <c r="I126" s="1" t="n">
        <v>45896.86180555556</v>
      </c>
      <c r="J126" t="n">
        <v>125</v>
      </c>
      <c r="K126" t="inlineStr">
        <is>
          <t xml:space="preserve"> </t>
        </is>
      </c>
      <c r="L126" t="inlineStr">
        <is>
          <t>San Fierro</t>
        </is>
      </c>
      <c r="M126" s="2">
        <f>HYPERLINK("https://tychesoftware.atlassian.net/browse/GTA-4625", "Go to")</f>
        <v/>
      </c>
    </row>
    <row r="127">
      <c r="A127" t="n">
        <v>126</v>
      </c>
      <c r="B127" t="inlineStr">
        <is>
          <t>Ran Fa Li</t>
        </is>
      </c>
      <c r="C127" t="inlineStr">
        <is>
          <t>GTA-7091</t>
        </is>
      </c>
      <c r="D127" t="inlineStr">
        <is>
          <t>Closed</t>
        </is>
      </c>
      <c r="E127" t="inlineStr">
        <is>
          <t>High</t>
        </is>
      </c>
      <c r="F127" t="inlineStr">
        <is>
          <t>Done</t>
        </is>
      </c>
      <c r="G127" t="inlineStr">
        <is>
          <t>Carl Johnson</t>
        </is>
      </c>
      <c r="H127" t="inlineStr">
        <is>
          <t>Woozie</t>
        </is>
      </c>
      <c r="I127" s="1" t="n">
        <v>45920.80138888889</v>
      </c>
      <c r="J127" t="n">
        <v>101</v>
      </c>
      <c r="K127" s="1" t="n">
        <v>45969.99930555555</v>
      </c>
      <c r="L127" t="inlineStr">
        <is>
          <t>San Fierro</t>
        </is>
      </c>
      <c r="M127" s="2">
        <f>HYPERLINK("https://tychesoftware.atlassian.net/browse/GTA-7091", "Go to")</f>
        <v/>
      </c>
    </row>
    <row r="128">
      <c r="A128" t="n">
        <v>127</v>
      </c>
      <c r="B128" t="inlineStr">
        <is>
          <t>Lure</t>
        </is>
      </c>
      <c r="C128" t="inlineStr">
        <is>
          <t>GTA-2846</t>
        </is>
      </c>
      <c r="D128" t="inlineStr">
        <is>
          <t>Validation</t>
        </is>
      </c>
      <c r="E128" t="inlineStr">
        <is>
          <t>High</t>
        </is>
      </c>
      <c r="F128" t="inlineStr"/>
      <c r="G128" t="inlineStr">
        <is>
          <t>Carl Johnson</t>
        </is>
      </c>
      <c r="H128" t="inlineStr">
        <is>
          <t>Woozie</t>
        </is>
      </c>
      <c r="I128" s="1" t="n">
        <v>45869.28263888889</v>
      </c>
      <c r="J128" t="n">
        <v>153</v>
      </c>
      <c r="K128" t="inlineStr">
        <is>
          <t xml:space="preserve"> </t>
        </is>
      </c>
      <c r="L128" t="inlineStr">
        <is>
          <t>San Fierro</t>
        </is>
      </c>
      <c r="M128" s="2">
        <f>HYPERLINK("https://tychesoftware.atlassian.net/browse/GTA-2846", "Go to")</f>
        <v/>
      </c>
    </row>
    <row r="129">
      <c r="A129" t="n">
        <v>128</v>
      </c>
      <c r="B129" t="inlineStr">
        <is>
          <t>Amphibious Assault</t>
        </is>
      </c>
      <c r="C129" t="inlineStr">
        <is>
          <t>GTA-6318</t>
        </is>
      </c>
      <c r="D129" t="inlineStr">
        <is>
          <t>To Do</t>
        </is>
      </c>
      <c r="E129" t="inlineStr">
        <is>
          <t>Medium</t>
        </is>
      </c>
      <c r="F129" t="inlineStr"/>
      <c r="G129" t="inlineStr">
        <is>
          <t>Carl Johnson</t>
        </is>
      </c>
      <c r="H129" t="inlineStr">
        <is>
          <t>Woozie</t>
        </is>
      </c>
      <c r="I129" s="1" t="n">
        <v>45983.52638888889</v>
      </c>
      <c r="J129" t="n">
        <v>39</v>
      </c>
      <c r="K129" t="inlineStr">
        <is>
          <t xml:space="preserve"> </t>
        </is>
      </c>
      <c r="L129" t="inlineStr">
        <is>
          <t>San Fierro</t>
        </is>
      </c>
      <c r="M129" s="2">
        <f>HYPERLINK("https://tychesoftware.atlassian.net/browse/GTA-6318", "Go to")</f>
        <v/>
      </c>
    </row>
    <row r="130">
      <c r="A130" t="n">
        <v>129</v>
      </c>
      <c r="B130" t="inlineStr">
        <is>
          <t>The Da Nang Thang</t>
        </is>
      </c>
      <c r="C130" t="inlineStr">
        <is>
          <t>GTA-0957</t>
        </is>
      </c>
      <c r="D130" t="inlineStr">
        <is>
          <t>Closed</t>
        </is>
      </c>
      <c r="E130" t="inlineStr">
        <is>
          <t>Blocker</t>
        </is>
      </c>
      <c r="F130" t="inlineStr">
        <is>
          <t>Done</t>
        </is>
      </c>
      <c r="G130" t="inlineStr">
        <is>
          <t>Carl Johnson</t>
        </is>
      </c>
      <c r="H130" t="inlineStr">
        <is>
          <t>Woozie</t>
        </is>
      </c>
      <c r="I130" s="1" t="n">
        <v>45899.64027777778</v>
      </c>
      <c r="J130" t="n">
        <v>122</v>
      </c>
      <c r="K130" s="1" t="n">
        <v>45972.99930555555</v>
      </c>
      <c r="L130" t="inlineStr">
        <is>
          <t>San Fierro</t>
        </is>
      </c>
      <c r="M130" s="2">
        <f>HYPERLINK("https://tychesoftware.atlassian.net/browse/GTA-0957", "Go to")</f>
        <v/>
      </c>
    </row>
    <row r="131">
      <c r="A131" t="n">
        <v>130</v>
      </c>
      <c r="B131" t="inlineStr">
        <is>
          <t>Yay Ka-Boom-Boom</t>
        </is>
      </c>
      <c r="C131" t="inlineStr">
        <is>
          <t>GTA-8740</t>
        </is>
      </c>
      <c r="D131" t="inlineStr">
        <is>
          <t>In Progress</t>
        </is>
      </c>
      <c r="E131" t="inlineStr">
        <is>
          <t>Blocker</t>
        </is>
      </c>
      <c r="F131" t="inlineStr"/>
      <c r="G131" t="inlineStr">
        <is>
          <t>Carl Johnson</t>
        </is>
      </c>
      <c r="H131" t="inlineStr">
        <is>
          <t>Woozie</t>
        </is>
      </c>
      <c r="I131" s="1" t="n">
        <v>45958.20555555556</v>
      </c>
      <c r="J131" t="n">
        <v>64</v>
      </c>
      <c r="K131" t="inlineStr">
        <is>
          <t xml:space="preserve"> </t>
        </is>
      </c>
      <c r="L131" t="inlineStr">
        <is>
          <t>San Fierro</t>
        </is>
      </c>
      <c r="M131" s="2">
        <f>HYPERLINK("https://tychesoftware.atlassian.net/browse/GTA-8740", "Go to")</f>
        <v/>
      </c>
    </row>
    <row r="132">
      <c r="A132" t="n">
        <v>131</v>
      </c>
      <c r="B132" t="inlineStr">
        <is>
          <t>Black Project</t>
        </is>
      </c>
      <c r="C132" t="inlineStr">
        <is>
          <t>GTA-5196</t>
        </is>
      </c>
      <c r="D132" t="inlineStr">
        <is>
          <t>Validation</t>
        </is>
      </c>
      <c r="E132" t="inlineStr">
        <is>
          <t>High</t>
        </is>
      </c>
      <c r="F132" t="inlineStr"/>
      <c r="G132" t="inlineStr">
        <is>
          <t>Carl Johnson</t>
        </is>
      </c>
      <c r="H132" t="inlineStr">
        <is>
          <t>Truth</t>
        </is>
      </c>
      <c r="I132" s="1" t="n">
        <v>45941.89583333334</v>
      </c>
      <c r="J132" t="n">
        <v>80</v>
      </c>
      <c r="K132" t="inlineStr">
        <is>
          <t xml:space="preserve"> </t>
        </is>
      </c>
      <c r="L132" t="inlineStr">
        <is>
          <t>Desert</t>
        </is>
      </c>
      <c r="M132" s="2">
        <f>HYPERLINK("https://tychesoftware.atlassian.net/browse/GTA-5196", "Go to")</f>
        <v/>
      </c>
    </row>
    <row r="133">
      <c r="A133" t="n">
        <v>132</v>
      </c>
      <c r="B133" t="inlineStr">
        <is>
          <t>Green Goo</t>
        </is>
      </c>
      <c r="C133" t="inlineStr">
        <is>
          <t>GTA-2304</t>
        </is>
      </c>
      <c r="D133" t="inlineStr">
        <is>
          <t>To Do</t>
        </is>
      </c>
      <c r="E133" t="inlineStr">
        <is>
          <t>Blocker</t>
        </is>
      </c>
      <c r="F133" t="inlineStr"/>
      <c r="G133" t="inlineStr">
        <is>
          <t>Carl Johnson</t>
        </is>
      </c>
      <c r="H133" t="inlineStr">
        <is>
          <t>Truth</t>
        </is>
      </c>
      <c r="I133" s="1" t="n">
        <v>45903.22152777778</v>
      </c>
      <c r="J133" t="n">
        <v>119</v>
      </c>
      <c r="K133" t="inlineStr">
        <is>
          <t xml:space="preserve"> </t>
        </is>
      </c>
      <c r="L133" t="inlineStr">
        <is>
          <t>Desert</t>
        </is>
      </c>
      <c r="M133" s="2">
        <f>HYPERLINK("https://tychesoftware.atlassian.net/browse/GTA-2304", "Go to")</f>
        <v/>
      </c>
    </row>
    <row r="134">
      <c r="A134" t="n">
        <v>133</v>
      </c>
      <c r="B134" t="inlineStr">
        <is>
          <t>Mike Toreno</t>
        </is>
      </c>
      <c r="C134" t="inlineStr">
        <is>
          <t>GTA-9681</t>
        </is>
      </c>
      <c r="D134" t="inlineStr">
        <is>
          <t>Closed</t>
        </is>
      </c>
      <c r="E134" t="inlineStr">
        <is>
          <t>Blocker</t>
        </is>
      </c>
      <c r="F134" t="inlineStr">
        <is>
          <t>Done</t>
        </is>
      </c>
      <c r="G134" t="inlineStr">
        <is>
          <t>Carl Johnson</t>
        </is>
      </c>
      <c r="H134" t="inlineStr">
        <is>
          <t>Jizzy</t>
        </is>
      </c>
      <c r="I134" s="1" t="n">
        <v>45925.57430555556</v>
      </c>
      <c r="J134" t="n">
        <v>97</v>
      </c>
      <c r="K134" s="1" t="n">
        <v>45976.99930555555</v>
      </c>
      <c r="L134" t="inlineStr">
        <is>
          <t>San Fierro</t>
        </is>
      </c>
      <c r="M134" s="2">
        <f>HYPERLINK("https://tychesoftware.atlassian.net/browse/GTA-9681", "Go to")</f>
        <v/>
      </c>
    </row>
    <row r="135">
      <c r="A135" t="n">
        <v>134</v>
      </c>
      <c r="B135" t="inlineStr">
        <is>
          <t>Fender Ketchup</t>
        </is>
      </c>
      <c r="C135" t="inlineStr">
        <is>
          <t>GTA-4075</t>
        </is>
      </c>
      <c r="D135" t="inlineStr">
        <is>
          <t>In Progress</t>
        </is>
      </c>
      <c r="E135" t="inlineStr">
        <is>
          <t>Blocker</t>
        </is>
      </c>
      <c r="F135" t="inlineStr"/>
      <c r="G135" t="inlineStr">
        <is>
          <t>Carl Johnson</t>
        </is>
      </c>
      <c r="H135" t="inlineStr">
        <is>
          <t>Woozie</t>
        </is>
      </c>
      <c r="I135" s="1" t="n">
        <v>45866.33819444444</v>
      </c>
      <c r="J135" t="n">
        <v>156</v>
      </c>
      <c r="K135" t="inlineStr">
        <is>
          <t xml:space="preserve"> </t>
        </is>
      </c>
      <c r="L135" t="inlineStr">
        <is>
          <t>Las Venturas</t>
        </is>
      </c>
      <c r="M135" s="2">
        <f>HYPERLINK("https://tychesoftware.atlassian.net/browse/GTA-4075", "Go to")</f>
        <v/>
      </c>
    </row>
    <row r="136">
      <c r="A136" t="n">
        <v>135</v>
      </c>
      <c r="B136" t="inlineStr">
        <is>
          <t>Explosive Situation</t>
        </is>
      </c>
      <c r="C136" t="inlineStr">
        <is>
          <t>GTA-7529</t>
        </is>
      </c>
      <c r="D136" t="inlineStr">
        <is>
          <t>Validation</t>
        </is>
      </c>
      <c r="E136" t="inlineStr">
        <is>
          <t>Medium</t>
        </is>
      </c>
      <c r="F136" t="inlineStr"/>
      <c r="G136" t="inlineStr">
        <is>
          <t>Carl Johnson</t>
        </is>
      </c>
      <c r="H136" t="inlineStr">
        <is>
          <t>Woozie</t>
        </is>
      </c>
      <c r="I136" s="1" t="n">
        <v>45932.96875</v>
      </c>
      <c r="J136" t="n">
        <v>89</v>
      </c>
      <c r="K136" t="inlineStr">
        <is>
          <t xml:space="preserve"> </t>
        </is>
      </c>
      <c r="L136" t="inlineStr">
        <is>
          <t>Las Venturas</t>
        </is>
      </c>
      <c r="M136" s="2">
        <f>HYPERLINK("https://tychesoftware.atlassian.net/browse/GTA-7529", "Go to")</f>
        <v/>
      </c>
    </row>
    <row r="137">
      <c r="A137" t="n">
        <v>136</v>
      </c>
      <c r="B137" t="inlineStr">
        <is>
          <t>You've Had Your Chips</t>
        </is>
      </c>
      <c r="C137" t="inlineStr">
        <is>
          <t>GTA-3184</t>
        </is>
      </c>
      <c r="D137" t="inlineStr">
        <is>
          <t>Closed</t>
        </is>
      </c>
      <c r="E137" t="inlineStr">
        <is>
          <t>Medium</t>
        </is>
      </c>
      <c r="F137" t="inlineStr">
        <is>
          <t>Done</t>
        </is>
      </c>
      <c r="G137" t="inlineStr">
        <is>
          <t>Carl Johnson</t>
        </is>
      </c>
      <c r="H137" t="inlineStr">
        <is>
          <t>Woozie</t>
        </is>
      </c>
      <c r="I137" s="1" t="n">
        <v>45892.14513888889</v>
      </c>
      <c r="J137" t="n">
        <v>130</v>
      </c>
      <c r="K137" s="1" t="n">
        <v>45979.99930555555</v>
      </c>
      <c r="L137" t="inlineStr">
        <is>
          <t>Las Venturas</t>
        </is>
      </c>
      <c r="M137" s="2">
        <f>HYPERLINK("https://tychesoftware.atlassian.net/browse/GTA-3184", "Go to")</f>
        <v/>
      </c>
    </row>
    <row r="138">
      <c r="A138" t="n">
        <v>137</v>
      </c>
      <c r="B138" t="inlineStr">
        <is>
          <t>Don Peyote</t>
        </is>
      </c>
      <c r="C138" t="inlineStr">
        <is>
          <t>GTA-6907</t>
        </is>
      </c>
      <c r="D138" t="inlineStr">
        <is>
          <t>To Do</t>
        </is>
      </c>
      <c r="E138" t="inlineStr">
        <is>
          <t>Medium</t>
        </is>
      </c>
      <c r="F138" t="inlineStr"/>
      <c r="G138" t="inlineStr">
        <is>
          <t>Carl Johnson</t>
        </is>
      </c>
      <c r="H138" t="inlineStr">
        <is>
          <t>Truth</t>
        </is>
      </c>
      <c r="I138" s="1" t="n">
        <v>45874.60763888889</v>
      </c>
      <c r="J138" t="n">
        <v>147</v>
      </c>
      <c r="K138" t="inlineStr">
        <is>
          <t xml:space="preserve"> </t>
        </is>
      </c>
      <c r="L138" t="inlineStr">
        <is>
          <t>Las Venturas</t>
        </is>
      </c>
      <c r="M138" s="2">
        <f>HYPERLINK("https://tychesoftware.atlassian.net/browse/GTA-6907", "Go to")</f>
        <v/>
      </c>
    </row>
    <row r="139">
      <c r="A139" t="n">
        <v>138</v>
      </c>
      <c r="B139" t="inlineStr">
        <is>
          <t>Architectural Espionage</t>
        </is>
      </c>
      <c r="C139" t="inlineStr">
        <is>
          <t>GTA-1289</t>
        </is>
      </c>
      <c r="D139" t="inlineStr">
        <is>
          <t>In Progress</t>
        </is>
      </c>
      <c r="E139" t="inlineStr">
        <is>
          <t>Medium</t>
        </is>
      </c>
      <c r="F139" t="inlineStr"/>
      <c r="G139" t="inlineStr">
        <is>
          <t>Carl Johnson</t>
        </is>
      </c>
      <c r="H139" t="inlineStr">
        <is>
          <t>Heist</t>
        </is>
      </c>
      <c r="I139" s="1" t="n">
        <v>45901.32152777778</v>
      </c>
      <c r="J139" t="n">
        <v>121</v>
      </c>
      <c r="K139" t="inlineStr">
        <is>
          <t xml:space="preserve"> </t>
        </is>
      </c>
      <c r="L139" t="inlineStr">
        <is>
          <t>Las Venturas</t>
        </is>
      </c>
      <c r="M139" s="2">
        <f>HYPERLINK("https://tychesoftware.atlassian.net/browse/GTA-1289", "Go to")</f>
        <v/>
      </c>
    </row>
    <row r="140">
      <c r="A140" t="n">
        <v>139</v>
      </c>
      <c r="B140" t="inlineStr">
        <is>
          <t>Key to Her Heart</t>
        </is>
      </c>
      <c r="C140" t="inlineStr">
        <is>
          <t>GTA-8456</t>
        </is>
      </c>
      <c r="D140" t="inlineStr">
        <is>
          <t>Closed</t>
        </is>
      </c>
      <c r="E140" t="inlineStr">
        <is>
          <t>High</t>
        </is>
      </c>
      <c r="F140" t="inlineStr">
        <is>
          <t>Done</t>
        </is>
      </c>
      <c r="G140" t="inlineStr">
        <is>
          <t>Carl Johnson</t>
        </is>
      </c>
      <c r="H140" t="inlineStr">
        <is>
          <t>Heist</t>
        </is>
      </c>
      <c r="I140" s="1" t="n">
        <v>45919.95069444444</v>
      </c>
      <c r="J140" t="n">
        <v>102</v>
      </c>
      <c r="K140" s="1" t="n">
        <v>45982.99930555555</v>
      </c>
      <c r="L140" t="inlineStr">
        <is>
          <t>Las Venturas</t>
        </is>
      </c>
      <c r="M140" s="2">
        <f>HYPERLINK("https://tychesoftware.atlassian.net/browse/GTA-8456", "Go to")</f>
        <v/>
      </c>
    </row>
    <row r="141">
      <c r="A141" t="n">
        <v>140</v>
      </c>
      <c r="B141" t="inlineStr">
        <is>
          <t>Breaking the Bank at Caligula's</t>
        </is>
      </c>
      <c r="C141" t="inlineStr">
        <is>
          <t>GTA-4920</t>
        </is>
      </c>
      <c r="D141" t="inlineStr">
        <is>
          <t>Validation</t>
        </is>
      </c>
      <c r="E141" t="inlineStr">
        <is>
          <t>Medium</t>
        </is>
      </c>
      <c r="F141" t="inlineStr"/>
      <c r="G141" t="inlineStr">
        <is>
          <t>Carl Johnson</t>
        </is>
      </c>
      <c r="H141" t="inlineStr">
        <is>
          <t>Heist</t>
        </is>
      </c>
      <c r="I141" s="1" t="n">
        <v>45867.74652777778</v>
      </c>
      <c r="J141" t="n">
        <v>154</v>
      </c>
      <c r="K141" t="inlineStr">
        <is>
          <t xml:space="preserve"> </t>
        </is>
      </c>
      <c r="L141" t="inlineStr">
        <is>
          <t>Las Venturas</t>
        </is>
      </c>
      <c r="M141" s="2">
        <f>HYPERLINK("https://tychesoftware.atlassian.net/browse/GTA-4920", "Go to")</f>
        <v/>
      </c>
    </row>
    <row r="142">
      <c r="A142" t="n">
        <v>141</v>
      </c>
      <c r="B142" t="inlineStr">
        <is>
          <t>A Home in the Hills</t>
        </is>
      </c>
      <c r="C142" t="inlineStr">
        <is>
          <t>GTA-7013</t>
        </is>
      </c>
      <c r="D142" t="inlineStr">
        <is>
          <t>To Do</t>
        </is>
      </c>
      <c r="E142" t="inlineStr">
        <is>
          <t>Blocker</t>
        </is>
      </c>
      <c r="F142" t="inlineStr"/>
      <c r="G142" t="inlineStr">
        <is>
          <t>Carl Johnson</t>
        </is>
      </c>
      <c r="H142" t="inlineStr">
        <is>
          <t>Woozie</t>
        </is>
      </c>
      <c r="I142" s="1" t="n">
        <v>45947.00833333333</v>
      </c>
      <c r="J142" t="n">
        <v>75</v>
      </c>
      <c r="K142" t="inlineStr">
        <is>
          <t xml:space="preserve"> </t>
        </is>
      </c>
      <c r="L142" t="inlineStr">
        <is>
          <t>Las Venturas</t>
        </is>
      </c>
      <c r="M142" s="2">
        <f>HYPERLINK("https://tychesoftware.atlassian.net/browse/GTA-7013", "Go to")</f>
        <v/>
      </c>
    </row>
    <row r="143">
      <c r="A143" t="n">
        <v>142</v>
      </c>
      <c r="B143" t="inlineStr">
        <is>
          <t>Vertical Bird</t>
        </is>
      </c>
      <c r="C143" t="inlineStr">
        <is>
          <t>GTA-2648</t>
        </is>
      </c>
      <c r="D143" t="inlineStr">
        <is>
          <t>Closed</t>
        </is>
      </c>
      <c r="E143" t="inlineStr">
        <is>
          <t>Medium</t>
        </is>
      </c>
      <c r="F143" t="inlineStr">
        <is>
          <t>Done</t>
        </is>
      </c>
      <c r="G143" t="inlineStr">
        <is>
          <t>Carl Johnson</t>
        </is>
      </c>
      <c r="H143" t="inlineStr">
        <is>
          <t>Toreno</t>
        </is>
      </c>
      <c r="I143" s="1" t="n">
        <v>45967.37569444445</v>
      </c>
      <c r="J143" t="n">
        <v>55</v>
      </c>
      <c r="K143" s="1" t="n">
        <v>45985.99930555555</v>
      </c>
      <c r="L143" t="inlineStr">
        <is>
          <t>Los Santos</t>
        </is>
      </c>
      <c r="M143" s="2">
        <f>HYPERLINK("https://tychesoftware.atlassian.net/browse/GTA-2648", "Go to")</f>
        <v/>
      </c>
    </row>
    <row r="144">
      <c r="A144" t="n">
        <v>143</v>
      </c>
      <c r="B144" t="inlineStr">
        <is>
          <t>Home Coming</t>
        </is>
      </c>
      <c r="C144" t="inlineStr">
        <is>
          <t>GTA-6379</t>
        </is>
      </c>
      <c r="D144" t="inlineStr">
        <is>
          <t>In Progress</t>
        </is>
      </c>
      <c r="E144" t="inlineStr">
        <is>
          <t>Medium</t>
        </is>
      </c>
      <c r="F144" t="inlineStr"/>
      <c r="G144" t="inlineStr">
        <is>
          <t>Carl Johnson</t>
        </is>
      </c>
      <c r="H144" t="inlineStr">
        <is>
          <t>Toreno</t>
        </is>
      </c>
      <c r="I144" s="1" t="n">
        <v>45988.83055555556</v>
      </c>
      <c r="J144" t="n">
        <v>33</v>
      </c>
      <c r="K144" t="inlineStr">
        <is>
          <t xml:space="preserve"> </t>
        </is>
      </c>
      <c r="L144" t="inlineStr">
        <is>
          <t>Los Santos</t>
        </is>
      </c>
      <c r="M144" s="2">
        <f>HYPERLINK("https://tychesoftware.atlassian.net/browse/GTA-6379", "Go to")</f>
        <v/>
      </c>
    </row>
    <row r="145">
      <c r="A145" t="n">
        <v>144</v>
      </c>
      <c r="B145" t="inlineStr">
        <is>
          <t>Cut Throat Business</t>
        </is>
      </c>
      <c r="C145" t="inlineStr">
        <is>
          <t>GTA-1284</t>
        </is>
      </c>
      <c r="D145" t="inlineStr">
        <is>
          <t>Validation</t>
        </is>
      </c>
      <c r="E145" t="inlineStr">
        <is>
          <t>Medium</t>
        </is>
      </c>
      <c r="F145" t="inlineStr"/>
      <c r="G145" t="inlineStr">
        <is>
          <t>Carl Johnson</t>
        </is>
      </c>
      <c r="H145" t="inlineStr">
        <is>
          <t>Sweet</t>
        </is>
      </c>
      <c r="I145" s="1" t="n">
        <v>45975.42708333334</v>
      </c>
      <c r="J145" t="n">
        <v>47</v>
      </c>
      <c r="K145" t="inlineStr">
        <is>
          <t xml:space="preserve"> </t>
        </is>
      </c>
      <c r="L145" t="inlineStr">
        <is>
          <t>Los Santos</t>
        </is>
      </c>
      <c r="M145" s="2">
        <f>HYPERLINK("https://tychesoftware.atlassian.net/browse/GTA-1284", "Go to")</f>
        <v/>
      </c>
    </row>
    <row r="146">
      <c r="A146" t="n">
        <v>145</v>
      </c>
      <c r="B146" t="inlineStr">
        <is>
          <t>Saint Mark's Bistro</t>
        </is>
      </c>
      <c r="C146" t="inlineStr">
        <is>
          <t>GTA-8457</t>
        </is>
      </c>
      <c r="D146" t="inlineStr">
        <is>
          <t>To Do</t>
        </is>
      </c>
      <c r="E146" t="inlineStr">
        <is>
          <t>Medium</t>
        </is>
      </c>
      <c r="F146" t="inlineStr"/>
      <c r="G146" t="inlineStr">
        <is>
          <t>Carl Johnson</t>
        </is>
      </c>
      <c r="H146" t="inlineStr">
        <is>
          <t>Salvatore</t>
        </is>
      </c>
      <c r="I146" s="1" t="n">
        <v>45851.48541666667</v>
      </c>
      <c r="J146" t="n">
        <v>171</v>
      </c>
      <c r="K146" t="inlineStr">
        <is>
          <t xml:space="preserve"> </t>
        </is>
      </c>
      <c r="L146" t="inlineStr">
        <is>
          <t>Las Venturas</t>
        </is>
      </c>
      <c r="M146" s="2">
        <f>HYPERLINK("https://tychesoftware.atlassian.net/browse/GTA-8457", "Go to")</f>
        <v/>
      </c>
    </row>
    <row r="147">
      <c r="A147" t="n">
        <v>146</v>
      </c>
      <c r="B147" t="inlineStr">
        <is>
          <t>Breaking the Bank at Caligula's</t>
        </is>
      </c>
      <c r="C147" t="inlineStr">
        <is>
          <t>GTA-4921</t>
        </is>
      </c>
      <c r="D147" t="inlineStr">
        <is>
          <t>Closed</t>
        </is>
      </c>
      <c r="E147" t="inlineStr">
        <is>
          <t>Medium</t>
        </is>
      </c>
      <c r="F147" t="inlineStr">
        <is>
          <t>Done</t>
        </is>
      </c>
      <c r="G147" t="inlineStr">
        <is>
          <t>Carl Johnson</t>
        </is>
      </c>
      <c r="H147" t="inlineStr">
        <is>
          <t>Heist</t>
        </is>
      </c>
      <c r="I147" s="1" t="n">
        <v>45971.2625</v>
      </c>
      <c r="J147" t="n">
        <v>51</v>
      </c>
      <c r="K147" s="1" t="n">
        <v>45989.99930555555</v>
      </c>
      <c r="L147" t="inlineStr">
        <is>
          <t>Las Venturas</t>
        </is>
      </c>
      <c r="M147" s="2">
        <f>HYPERLINK("https://tychesoftware.atlassian.net/browse/GTA-4921", "Go to")</f>
        <v/>
      </c>
    </row>
    <row r="148">
      <c r="A148" t="n">
        <v>147</v>
      </c>
      <c r="B148" t="inlineStr">
        <is>
          <t>End of the Line</t>
        </is>
      </c>
      <c r="C148" t="inlineStr">
        <is>
          <t>GTA-7012</t>
        </is>
      </c>
      <c r="D148" t="inlineStr">
        <is>
          <t>In Progress</t>
        </is>
      </c>
      <c r="E148" t="inlineStr">
        <is>
          <t>Medium</t>
        </is>
      </c>
      <c r="F148" t="inlineStr"/>
      <c r="G148" t="inlineStr">
        <is>
          <t>Carl Johnson</t>
        </is>
      </c>
      <c r="H148" t="inlineStr">
        <is>
          <t>Sweet</t>
        </is>
      </c>
      <c r="I148" s="1" t="n">
        <v>45977.89236111111</v>
      </c>
      <c r="J148" t="n">
        <v>44</v>
      </c>
      <c r="K148" t="inlineStr">
        <is>
          <t xml:space="preserve"> </t>
        </is>
      </c>
      <c r="L148" t="inlineStr">
        <is>
          <t>Los Santos</t>
        </is>
      </c>
      <c r="M148" s="2">
        <f>HYPERLINK("https://tychesoftware.atlassian.net/browse/GTA-7012",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11" max="11"/>
  </cols>
  <sheetData>
    <row r="1">
      <c r="A1" t="inlineStr"/>
      <c r="B1" s="3" t="inlineStr">
        <is>
          <t>Current Period</t>
        </is>
      </c>
    </row>
    <row r="2">
      <c r="A2" t="inlineStr"/>
      <c r="B2" s="4" t="inlineStr">
        <is>
          <t>Outstanding JIRA Tickets (Age in Days)</t>
        </is>
      </c>
      <c r="C2" t="inlineStr"/>
      <c r="D2" t="inlineStr"/>
      <c r="E2" t="inlineStr"/>
      <c r="F2" t="inlineStr"/>
      <c r="G2" t="inlineStr"/>
      <c r="H2" t="inlineStr"/>
      <c r="I2" t="inlineStr">
        <is>
          <t>Avg. Time to Resolve (Days)</t>
        </is>
      </c>
      <c r="J2" t="inlineStr"/>
      <c r="K2" t="inlineStr"/>
      <c r="L2" s="4" t="inlineStr">
        <is>
          <t>Outstanding Tickets</t>
        </is>
      </c>
    </row>
    <row r="3">
      <c r="A3" t="inlineStr">
        <is>
          <t>Client</t>
        </is>
      </c>
      <c r="B3" t="inlineStr">
        <is>
          <t>&gt;0</t>
        </is>
      </c>
      <c r="C3" t="inlineStr">
        <is>
          <t>&gt;30</t>
        </is>
      </c>
      <c r="D3" t="inlineStr">
        <is>
          <t>&gt;60</t>
        </is>
      </c>
      <c r="E3" t="inlineStr">
        <is>
          <t>&gt;90</t>
        </is>
      </c>
      <c r="F3" t="inlineStr">
        <is>
          <t>&gt;120</t>
        </is>
      </c>
      <c r="G3" t="inlineStr">
        <is>
          <t>&gt;150</t>
        </is>
      </c>
      <c r="H3" t="inlineStr">
        <is>
          <t>&gt;180</t>
        </is>
      </c>
      <c r="I3" t="inlineStr">
        <is>
          <t>Avg.</t>
        </is>
      </c>
      <c r="J3" t="inlineStr"/>
      <c r="K3" t="inlineStr">
        <is>
          <t>Priority</t>
        </is>
      </c>
      <c r="L3" t="inlineStr">
        <is>
          <t>Low</t>
        </is>
      </c>
      <c r="M3" t="inlineStr">
        <is>
          <t>Medium</t>
        </is>
      </c>
      <c r="N3" t="inlineStr">
        <is>
          <t>High</t>
        </is>
      </c>
      <c r="O3" t="inlineStr">
        <is>
          <t>Blocker</t>
        </is>
      </c>
    </row>
    <row r="4">
      <c r="A4" s="2">
        <f>HYPERLINK("#'Badlands'!A1", "Badlands")</f>
        <v/>
      </c>
      <c r="B4" t="n">
        <v>9</v>
      </c>
      <c r="C4" t="n">
        <v>9</v>
      </c>
      <c r="D4" t="n">
        <v>7</v>
      </c>
      <c r="E4" t="n">
        <v>6</v>
      </c>
      <c r="F4" t="n">
        <v>4</v>
      </c>
      <c r="G4" t="n">
        <v>2</v>
      </c>
      <c r="H4" t="n">
        <v>0</v>
      </c>
      <c r="I4" s="5" t="n">
        <v>37</v>
      </c>
      <c r="J4" t="inlineStr"/>
      <c r="K4" s="2">
        <f>HYPERLINK("#'Badlands'!A1", "Badlands")</f>
        <v/>
      </c>
      <c r="L4" t="n">
        <v>0</v>
      </c>
      <c r="M4" t="n">
        <v>5</v>
      </c>
      <c r="N4" t="n">
        <v>3</v>
      </c>
      <c r="O4" t="n">
        <v>1</v>
      </c>
    </row>
    <row r="5">
      <c r="A5" s="2">
        <f>HYPERLINK("#'Beach'!A1", "Beach")</f>
        <v/>
      </c>
      <c r="B5" t="n">
        <v>9</v>
      </c>
      <c r="C5" t="n">
        <v>9</v>
      </c>
      <c r="D5" t="n">
        <v>7</v>
      </c>
      <c r="E5" t="n">
        <v>4</v>
      </c>
      <c r="F5" t="n">
        <v>4</v>
      </c>
      <c r="G5" t="n">
        <v>4</v>
      </c>
      <c r="H5" t="n">
        <v>0</v>
      </c>
      <c r="I5" s="5" t="n">
        <v>37.66666666666666</v>
      </c>
      <c r="J5" t="inlineStr"/>
      <c r="K5" s="2">
        <f>HYPERLINK("#'Beach'!A1", "Beach")</f>
        <v/>
      </c>
      <c r="L5" t="n">
        <v>0</v>
      </c>
      <c r="M5" t="n">
        <v>4</v>
      </c>
      <c r="N5" t="n">
        <v>2</v>
      </c>
      <c r="O5" t="n">
        <v>3</v>
      </c>
    </row>
    <row r="6">
      <c r="A6" s="2">
        <f>HYPERLINK("#'Desert'!A1", "Desert")</f>
        <v/>
      </c>
      <c r="B6" t="n">
        <v>2</v>
      </c>
      <c r="C6" t="n">
        <v>2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s="5" t="inlineStr">
        <is>
          <t>n/a</t>
        </is>
      </c>
      <c r="J6" t="inlineStr"/>
      <c r="K6" s="2">
        <f>HYPERLINK("#'Desert'!A1", "Desert")</f>
        <v/>
      </c>
      <c r="L6" t="n">
        <v>0</v>
      </c>
      <c r="M6" t="n">
        <v>0</v>
      </c>
      <c r="N6" t="n">
        <v>1</v>
      </c>
      <c r="O6" t="n">
        <v>1</v>
      </c>
    </row>
    <row r="7">
      <c r="A7" s="2">
        <f>HYPERLINK("#'Downtown'!A1", "Downtown")</f>
        <v/>
      </c>
      <c r="B7" t="n">
        <v>3</v>
      </c>
      <c r="C7" t="n">
        <v>3</v>
      </c>
      <c r="D7" t="n">
        <v>2</v>
      </c>
      <c r="E7" t="n">
        <v>2</v>
      </c>
      <c r="F7" t="n">
        <v>2</v>
      </c>
      <c r="G7" t="n">
        <v>0</v>
      </c>
      <c r="H7" t="n">
        <v>0</v>
      </c>
      <c r="I7" s="5" t="n">
        <v>11</v>
      </c>
      <c r="J7" t="inlineStr"/>
      <c r="K7" s="2">
        <f>HYPERLINK("#'Downtown'!A1", "Downtown")</f>
        <v/>
      </c>
      <c r="L7" t="n">
        <v>0</v>
      </c>
      <c r="M7" t="n">
        <v>2</v>
      </c>
      <c r="N7" t="n">
        <v>0</v>
      </c>
      <c r="O7" t="n">
        <v>1</v>
      </c>
    </row>
    <row r="8">
      <c r="A8" s="2">
        <f>HYPERLINK("#'Las Venturas'!A1", "Las Venturas")</f>
        <v/>
      </c>
      <c r="B8" t="n">
        <v>7</v>
      </c>
      <c r="C8" t="n">
        <v>7</v>
      </c>
      <c r="D8" t="n">
        <v>7</v>
      </c>
      <c r="E8" t="n">
        <v>5</v>
      </c>
      <c r="F8" t="n">
        <v>5</v>
      </c>
      <c r="G8" t="n">
        <v>3</v>
      </c>
      <c r="H8" t="n">
        <v>0</v>
      </c>
      <c r="I8" s="5" t="n">
        <v>56.33333333333334</v>
      </c>
      <c r="J8" t="inlineStr"/>
      <c r="K8" s="2">
        <f>HYPERLINK("#'Las Venturas'!A1", "Las Venturas")</f>
        <v/>
      </c>
      <c r="L8" t="n">
        <v>0</v>
      </c>
      <c r="M8" t="n">
        <v>5</v>
      </c>
      <c r="N8" t="n">
        <v>0</v>
      </c>
      <c r="O8" t="n">
        <v>2</v>
      </c>
    </row>
    <row r="9">
      <c r="A9" s="2">
        <f>HYPERLINK("#'Los Santos'!A1", "Los Santos")</f>
        <v/>
      </c>
      <c r="B9" t="n">
        <v>22</v>
      </c>
      <c r="C9" t="n">
        <v>22</v>
      </c>
      <c r="D9" t="n">
        <v>15</v>
      </c>
      <c r="E9" t="n">
        <v>9</v>
      </c>
      <c r="F9" t="n">
        <v>5</v>
      </c>
      <c r="G9" t="n">
        <v>3</v>
      </c>
      <c r="H9" t="n">
        <v>0</v>
      </c>
      <c r="I9" s="5" t="n">
        <v>47.66666666666666</v>
      </c>
      <c r="J9" t="inlineStr"/>
      <c r="K9" s="2">
        <f>HYPERLINK("#'Los Santos'!A1", "Los Santos")</f>
        <v/>
      </c>
      <c r="L9" t="n">
        <v>0</v>
      </c>
      <c r="M9" t="n">
        <v>12</v>
      </c>
      <c r="N9" t="n">
        <v>7</v>
      </c>
      <c r="O9" t="n">
        <v>3</v>
      </c>
    </row>
    <row r="10">
      <c r="A10" s="2">
        <f>HYPERLINK("#'Portland'!A1", "Portland")</f>
        <v/>
      </c>
      <c r="B10" t="n">
        <v>15</v>
      </c>
      <c r="C10" t="n">
        <v>15</v>
      </c>
      <c r="D10" t="n">
        <v>14</v>
      </c>
      <c r="E10" t="n">
        <v>10</v>
      </c>
      <c r="F10" t="n">
        <v>8</v>
      </c>
      <c r="G10" t="n">
        <v>4</v>
      </c>
      <c r="H10" t="n">
        <v>0</v>
      </c>
      <c r="I10" s="5" t="n">
        <v>55.83333333333334</v>
      </c>
      <c r="J10" t="inlineStr"/>
      <c r="K10" s="2">
        <f>HYPERLINK("#'Portland'!A1", "Portland")</f>
        <v/>
      </c>
      <c r="L10" t="n">
        <v>0</v>
      </c>
      <c r="M10" t="n">
        <v>5</v>
      </c>
      <c r="N10" t="n">
        <v>6</v>
      </c>
      <c r="O10" t="n">
        <v>4</v>
      </c>
    </row>
    <row r="11">
      <c r="A11" s="2">
        <f>HYPERLINK("#'San Fierro'!A1", "San Fierro")</f>
        <v/>
      </c>
      <c r="B11" t="n">
        <v>11</v>
      </c>
      <c r="C11" t="n">
        <v>11</v>
      </c>
      <c r="D11" t="n">
        <v>10</v>
      </c>
      <c r="E11" t="n">
        <v>7</v>
      </c>
      <c r="F11" t="n">
        <v>6</v>
      </c>
      <c r="G11" t="n">
        <v>4</v>
      </c>
      <c r="H11" t="n">
        <v>0</v>
      </c>
      <c r="I11" s="5" t="n">
        <v>74.66666666666667</v>
      </c>
      <c r="J11" t="inlineStr"/>
      <c r="K11" s="2">
        <f>HYPERLINK("#'San Fierro'!A1", "San Fierro")</f>
        <v/>
      </c>
      <c r="L11" t="n">
        <v>0</v>
      </c>
      <c r="M11" t="n">
        <v>3</v>
      </c>
      <c r="N11" t="n">
        <v>4</v>
      </c>
      <c r="O11" t="n">
        <v>4</v>
      </c>
    </row>
    <row r="12">
      <c r="A12" s="2">
        <f>HYPERLINK("#'Shoreside'!A1", "Shoreside")</f>
        <v/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s="5" t="n">
        <v>31</v>
      </c>
      <c r="J12" t="inlineStr"/>
      <c r="K12" s="2">
        <f>HYPERLINK("#'Shoreside'!A1", "Shoreside")</f>
        <v/>
      </c>
      <c r="L12" t="n">
        <v>0</v>
      </c>
      <c r="M12" t="n">
        <v>0</v>
      </c>
      <c r="N12" t="n">
        <v>0</v>
      </c>
      <c r="O12" t="n">
        <v>1</v>
      </c>
    </row>
    <row r="13">
      <c r="A13" s="2">
        <f>HYPERLINK("#'Starfish'!A1", "Starfish")</f>
        <v/>
      </c>
      <c r="B13" t="n">
        <v>6</v>
      </c>
      <c r="C13" t="n">
        <v>6</v>
      </c>
      <c r="D13" t="n">
        <v>5</v>
      </c>
      <c r="E13" t="n">
        <v>5</v>
      </c>
      <c r="F13" t="n">
        <v>2</v>
      </c>
      <c r="G13" t="n">
        <v>2</v>
      </c>
      <c r="H13" t="n">
        <v>0</v>
      </c>
      <c r="I13" s="5" t="n">
        <v>44.66666666666666</v>
      </c>
      <c r="J13" t="inlineStr"/>
      <c r="K13" s="2">
        <f>HYPERLINK("#'Starfish'!A1", "Starfish")</f>
        <v/>
      </c>
      <c r="L13" t="n">
        <v>0</v>
      </c>
      <c r="M13" t="n">
        <v>4</v>
      </c>
      <c r="N13" t="n">
        <v>1</v>
      </c>
      <c r="O13" t="n">
        <v>1</v>
      </c>
    </row>
    <row r="14">
      <c r="A14" s="2">
        <f>HYPERLINK("#'Staunton'!A1", "Staunton")</f>
        <v/>
      </c>
      <c r="B14" t="n">
        <v>19</v>
      </c>
      <c r="C14" t="n">
        <v>19</v>
      </c>
      <c r="D14" t="n">
        <v>14</v>
      </c>
      <c r="E14" t="n">
        <v>10</v>
      </c>
      <c r="F14" t="n">
        <v>7</v>
      </c>
      <c r="G14" t="n">
        <v>6</v>
      </c>
      <c r="H14" t="n">
        <v>0</v>
      </c>
      <c r="I14" s="5" t="n">
        <v>46</v>
      </c>
      <c r="J14" t="inlineStr"/>
      <c r="K14" s="2">
        <f>HYPERLINK("#'Staunton'!A1", "Staunton")</f>
        <v/>
      </c>
      <c r="L14" t="n">
        <v>0</v>
      </c>
      <c r="M14" t="n">
        <v>11</v>
      </c>
      <c r="N14" t="n">
        <v>4</v>
      </c>
      <c r="O14" t="n">
        <v>4</v>
      </c>
    </row>
  </sheetData>
  <conditionalFormatting sqref="B4:H14">
    <cfRule type="cellIs" priority="1" operator="equal" dxfId="0" stopIfTrue="1">
      <formula>0</formula>
    </cfRule>
  </conditionalFormatting>
  <conditionalFormatting sqref="B4:C14">
    <cfRule type="cellIs" priority="2" operator="greaterThan" dxfId="0" stopIfTrue="1">
      <formula>0</formula>
    </cfRule>
  </conditionalFormatting>
  <conditionalFormatting sqref="D4:F14">
    <cfRule type="cellIs" priority="3" operator="greaterThan" dxfId="1" stopIfTrue="1">
      <formula>0</formula>
    </cfRule>
  </conditionalFormatting>
  <conditionalFormatting sqref="G4:H14">
    <cfRule type="cellIs" priority="4" operator="greaterThan" dxfId="2" stopIfTrue="1">
      <formula>0</formula>
    </cfRule>
  </conditionalFormatting>
  <conditionalFormatting sqref="L4:O14">
    <cfRule type="cellIs" priority="5" operator="equal" dxfId="0" stopIfTrue="1">
      <formula>0</formula>
    </cfRule>
  </conditionalFormatting>
  <conditionalFormatting sqref="L4:L14">
    <cfRule type="cellIs" priority="6" operator="greaterThan" dxfId="0" stopIfTrue="1">
      <formula>0</formula>
    </cfRule>
  </conditionalFormatting>
  <conditionalFormatting sqref="M4:N14">
    <cfRule type="cellIs" priority="7" operator="greaterThan" dxfId="1" stopIfTrue="1">
      <formula>0</formula>
    </cfRule>
  </conditionalFormatting>
  <conditionalFormatting sqref="O4:O14">
    <cfRule type="cellIs" priority="8" operator="greaterThan" dxfId="2" stopIfTrue="1">
      <formula>0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00FF00"/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102</v>
      </c>
      <c r="B2" t="inlineStr">
        <is>
          <t>Badlands</t>
        </is>
      </c>
      <c r="C2" t="inlineStr">
        <is>
          <t>GTA-0725</t>
        </is>
      </c>
      <c r="D2" t="inlineStr">
        <is>
          <t>Closed</t>
        </is>
      </c>
      <c r="E2" t="inlineStr">
        <is>
          <t>Blocker</t>
        </is>
      </c>
      <c r="F2" t="inlineStr">
        <is>
          <t>Done</t>
        </is>
      </c>
      <c r="G2" t="inlineStr">
        <is>
          <t>Carl Johnson</t>
        </is>
      </c>
      <c r="H2" t="inlineStr">
        <is>
          <t>CRASH</t>
        </is>
      </c>
      <c r="I2" s="1" t="n">
        <v>45974.13958333333</v>
      </c>
      <c r="J2" t="n">
        <v>48</v>
      </c>
      <c r="K2" s="1" t="n">
        <v>46045.99930555555</v>
      </c>
      <c r="L2" t="inlineStr">
        <is>
          <t>Badlands</t>
        </is>
      </c>
      <c r="M2" s="2">
        <f>HYPERLINK("https://tychesoftware.atlassian.net/browse/GTA-0725", "Go to")</f>
        <v/>
      </c>
    </row>
    <row r="3">
      <c r="A3" t="n">
        <v>103</v>
      </c>
      <c r="B3" t="inlineStr">
        <is>
          <t>First Date</t>
        </is>
      </c>
      <c r="C3" t="inlineStr">
        <is>
          <t>GTA-8543</t>
        </is>
      </c>
      <c r="D3" t="inlineStr">
        <is>
          <t>To Do</t>
        </is>
      </c>
      <c r="E3" t="inlineStr">
        <is>
          <t>Medium</t>
        </is>
      </c>
      <c r="F3" t="inlineStr"/>
      <c r="G3" t="inlineStr">
        <is>
          <t>Carl Johnson</t>
        </is>
      </c>
      <c r="H3" t="inlineStr">
        <is>
          <t>Catalina</t>
        </is>
      </c>
      <c r="I3" s="1" t="n">
        <v>45910.67847222222</v>
      </c>
      <c r="J3" t="n">
        <v>111</v>
      </c>
      <c r="K3" t="inlineStr">
        <is>
          <t xml:space="preserve"> </t>
        </is>
      </c>
      <c r="L3" t="inlineStr">
        <is>
          <t>Badlands</t>
        </is>
      </c>
      <c r="M3" s="2">
        <f>HYPERLINK("https://tychesoftware.atlassian.net/browse/GTA-8543", "Go to")</f>
        <v/>
      </c>
    </row>
    <row r="4">
      <c r="A4" t="n">
        <v>104</v>
      </c>
      <c r="B4" t="inlineStr">
        <is>
          <t>Tank Commander</t>
        </is>
      </c>
      <c r="C4" t="inlineStr">
        <is>
          <t>GTA-3910</t>
        </is>
      </c>
      <c r="D4" t="inlineStr">
        <is>
          <t>In Progress</t>
        </is>
      </c>
      <c r="E4" t="inlineStr">
        <is>
          <t>Medium</t>
        </is>
      </c>
      <c r="F4" t="inlineStr"/>
      <c r="G4" t="inlineStr">
        <is>
          <t>Carl Johnson</t>
        </is>
      </c>
      <c r="H4" t="inlineStr">
        <is>
          <t>Catalina</t>
        </is>
      </c>
      <c r="I4" s="1" t="n">
        <v>45961.40277777778</v>
      </c>
      <c r="J4" t="n">
        <v>61</v>
      </c>
      <c r="K4" t="inlineStr">
        <is>
          <t xml:space="preserve"> </t>
        </is>
      </c>
      <c r="L4" t="inlineStr">
        <is>
          <t>Badlands</t>
        </is>
      </c>
      <c r="M4" s="2">
        <f>HYPERLINK("https://tychesoftware.atlassian.net/browse/GTA-3910", "Go to")</f>
        <v/>
      </c>
    </row>
    <row r="5">
      <c r="A5" t="n">
        <v>105</v>
      </c>
      <c r="B5" t="inlineStr">
        <is>
          <t>Body Harvest</t>
        </is>
      </c>
      <c r="C5" t="inlineStr">
        <is>
          <t>GTA-7068</t>
        </is>
      </c>
      <c r="D5" t="inlineStr">
        <is>
          <t>Validation</t>
        </is>
      </c>
      <c r="E5" t="inlineStr">
        <is>
          <t>Blocker</t>
        </is>
      </c>
      <c r="F5" t="inlineStr"/>
      <c r="G5" t="inlineStr">
        <is>
          <t>Carl Johnson</t>
        </is>
      </c>
      <c r="H5" t="inlineStr">
        <is>
          <t>Truth</t>
        </is>
      </c>
      <c r="I5" s="1" t="n">
        <v>45882.72708333333</v>
      </c>
      <c r="J5" t="n">
        <v>139</v>
      </c>
      <c r="K5" t="inlineStr">
        <is>
          <t xml:space="preserve"> </t>
        </is>
      </c>
      <c r="L5" t="inlineStr">
        <is>
          <t>Badlands</t>
        </is>
      </c>
      <c r="M5" s="2">
        <f>HYPERLINK("https://tychesoftware.atlassian.net/browse/GTA-7068", "Go to")</f>
        <v/>
      </c>
    </row>
    <row r="6">
      <c r="A6" t="n">
        <v>106</v>
      </c>
      <c r="B6" t="inlineStr">
        <is>
          <t>King in Exile</t>
        </is>
      </c>
      <c r="C6" t="inlineStr">
        <is>
          <t>GTA-2581</t>
        </is>
      </c>
      <c r="D6" t="inlineStr">
        <is>
          <t>Closed</t>
        </is>
      </c>
      <c r="E6" t="inlineStr">
        <is>
          <t>High</t>
        </is>
      </c>
      <c r="F6" t="inlineStr">
        <is>
          <t>Done</t>
        </is>
      </c>
      <c r="G6" t="inlineStr">
        <is>
          <t>Carl Johnson</t>
        </is>
      </c>
      <c r="H6" t="inlineStr">
        <is>
          <t>Catalina</t>
        </is>
      </c>
      <c r="I6" s="1" t="n">
        <v>45907.59861111111</v>
      </c>
      <c r="J6" t="n">
        <v>114</v>
      </c>
      <c r="K6" s="1" t="n">
        <v>45949.99930555555</v>
      </c>
      <c r="L6" t="inlineStr">
        <is>
          <t>Badlands</t>
        </is>
      </c>
      <c r="M6" s="2">
        <f>HYPERLINK("https://tychesoftware.atlassian.net/browse/GTA-2581", "Go to")</f>
        <v/>
      </c>
    </row>
    <row r="7">
      <c r="A7" t="n">
        <v>107</v>
      </c>
      <c r="B7" t="inlineStr">
        <is>
          <t>First Base</t>
        </is>
      </c>
      <c r="C7" t="inlineStr">
        <is>
          <t>GTA-6497</t>
        </is>
      </c>
      <c r="D7" t="inlineStr">
        <is>
          <t>To Do</t>
        </is>
      </c>
      <c r="E7" t="inlineStr">
        <is>
          <t>Medium</t>
        </is>
      </c>
      <c r="F7" t="inlineStr"/>
      <c r="G7" t="inlineStr">
        <is>
          <t>Carl Johnson</t>
        </is>
      </c>
      <c r="H7" t="inlineStr">
        <is>
          <t>Catalina</t>
        </is>
      </c>
      <c r="I7" s="1" t="n">
        <v>45989.48125</v>
      </c>
      <c r="J7" t="n">
        <v>33</v>
      </c>
      <c r="K7" t="inlineStr">
        <is>
          <t xml:space="preserve"> </t>
        </is>
      </c>
      <c r="L7" t="inlineStr">
        <is>
          <t>Badlands</t>
        </is>
      </c>
      <c r="M7" s="2">
        <f>HYPERLINK("https://tychesoftware.atlassian.net/browse/GTA-6497", "Go to")</f>
        <v/>
      </c>
    </row>
    <row r="8">
      <c r="A8" t="n">
        <v>108</v>
      </c>
      <c r="B8" t="inlineStr">
        <is>
          <t>Gone Courting</t>
        </is>
      </c>
      <c r="C8" t="inlineStr">
        <is>
          <t>GTA-0934</t>
        </is>
      </c>
      <c r="D8" t="inlineStr">
        <is>
          <t>In Progress</t>
        </is>
      </c>
      <c r="E8" t="inlineStr">
        <is>
          <t>Medium</t>
        </is>
      </c>
      <c r="F8" t="inlineStr"/>
      <c r="G8" t="inlineStr">
        <is>
          <t>Carl Johnson</t>
        </is>
      </c>
      <c r="H8" t="inlineStr">
        <is>
          <t>Catalina</t>
        </is>
      </c>
      <c r="I8" s="1" t="n">
        <v>45856.87291666667</v>
      </c>
      <c r="J8" t="n">
        <v>165</v>
      </c>
      <c r="K8" t="inlineStr">
        <is>
          <t xml:space="preserve"> </t>
        </is>
      </c>
      <c r="L8" t="inlineStr">
        <is>
          <t>Badlands</t>
        </is>
      </c>
      <c r="M8" s="2">
        <f>HYPERLINK("https://tychesoftware.atlassian.net/browse/GTA-0934", "Go to")</f>
        <v/>
      </c>
    </row>
    <row r="9">
      <c r="A9" t="n">
        <v>109</v>
      </c>
      <c r="B9" t="inlineStr">
        <is>
          <t>Against All Odds</t>
        </is>
      </c>
      <c r="C9" t="inlineStr">
        <is>
          <t>GTA-8752</t>
        </is>
      </c>
      <c r="D9" t="inlineStr">
        <is>
          <t>Validation</t>
        </is>
      </c>
      <c r="E9" t="inlineStr">
        <is>
          <t>Medium</t>
        </is>
      </c>
      <c r="F9" t="inlineStr"/>
      <c r="G9" t="inlineStr">
        <is>
          <t>Carl Johnson</t>
        </is>
      </c>
      <c r="H9" t="inlineStr">
        <is>
          <t>Catalina</t>
        </is>
      </c>
      <c r="I9" s="1" t="n">
        <v>45931.12847222222</v>
      </c>
      <c r="J9" t="n">
        <v>91</v>
      </c>
      <c r="K9" t="inlineStr">
        <is>
          <t xml:space="preserve"> </t>
        </is>
      </c>
      <c r="L9" t="inlineStr">
        <is>
          <t>Badlands</t>
        </is>
      </c>
      <c r="M9" s="2">
        <f>HYPERLINK("https://tychesoftware.atlassian.net/browse/GTA-8752", "Go to")</f>
        <v/>
      </c>
    </row>
    <row r="10">
      <c r="A10" t="n">
        <v>110</v>
      </c>
      <c r="B10" t="inlineStr">
        <is>
          <t>Local Liquor Store</t>
        </is>
      </c>
      <c r="C10" t="inlineStr">
        <is>
          <t>GTA-4619</t>
        </is>
      </c>
      <c r="D10" t="inlineStr">
        <is>
          <t>Closed</t>
        </is>
      </c>
      <c r="E10" t="inlineStr">
        <is>
          <t>High</t>
        </is>
      </c>
      <c r="F10" t="inlineStr">
        <is>
          <t>Done</t>
        </is>
      </c>
      <c r="G10" t="inlineStr">
        <is>
          <t>Carl Johnson</t>
        </is>
      </c>
      <c r="H10" t="inlineStr">
        <is>
          <t>Catalina</t>
        </is>
      </c>
      <c r="I10" s="1" t="n">
        <v>45923.3625</v>
      </c>
      <c r="J10" t="n">
        <v>99</v>
      </c>
      <c r="K10" s="1" t="n">
        <v>45953.99930555555</v>
      </c>
      <c r="L10" t="inlineStr">
        <is>
          <t>Badlands</t>
        </is>
      </c>
      <c r="M10" s="2">
        <f>HYPERLINK("https://tychesoftware.atlassian.net/browse/GTA-4619", "Go to")</f>
        <v/>
      </c>
    </row>
    <row r="11">
      <c r="A11" t="n">
        <v>111</v>
      </c>
      <c r="B11" t="inlineStr">
        <is>
          <t>Small Town Bank</t>
        </is>
      </c>
      <c r="C11" t="inlineStr">
        <is>
          <t>GTA-7325</t>
        </is>
      </c>
      <c r="D11" t="inlineStr">
        <is>
          <t>To Do</t>
        </is>
      </c>
      <c r="E11" t="inlineStr">
        <is>
          <t>High</t>
        </is>
      </c>
      <c r="F11" t="inlineStr"/>
      <c r="G11" t="inlineStr">
        <is>
          <t>Carl Johnson</t>
        </is>
      </c>
      <c r="H11" t="inlineStr">
        <is>
          <t>Catalina</t>
        </is>
      </c>
      <c r="I11" s="1" t="n">
        <v>45850.7875</v>
      </c>
      <c r="J11" t="n">
        <v>171</v>
      </c>
      <c r="K11" t="inlineStr">
        <is>
          <t xml:space="preserve"> </t>
        </is>
      </c>
      <c r="L11" t="inlineStr">
        <is>
          <t>Badlands</t>
        </is>
      </c>
      <c r="M11" s="2">
        <f>HYPERLINK("https://tychesoftware.atlassian.net/browse/GTA-7325", "Go to")</f>
        <v/>
      </c>
    </row>
    <row r="12">
      <c r="A12" t="n">
        <v>112</v>
      </c>
      <c r="B12" t="inlineStr">
        <is>
          <t>Wu Zi Mu</t>
        </is>
      </c>
      <c r="C12" t="inlineStr">
        <is>
          <t>GTA-1856</t>
        </is>
      </c>
      <c r="D12" t="inlineStr">
        <is>
          <t>In Progress</t>
        </is>
      </c>
      <c r="E12" t="inlineStr">
        <is>
          <t>High</t>
        </is>
      </c>
      <c r="F12" t="inlineStr"/>
      <c r="G12" t="inlineStr">
        <is>
          <t>Carl Johnson</t>
        </is>
      </c>
      <c r="H12" t="inlineStr">
        <is>
          <t>Woozie</t>
        </is>
      </c>
      <c r="I12" s="1" t="n">
        <v>45966.67430555556</v>
      </c>
      <c r="J12" t="n">
        <v>55</v>
      </c>
      <c r="K12" t="inlineStr">
        <is>
          <t xml:space="preserve"> </t>
        </is>
      </c>
      <c r="L12" t="inlineStr">
        <is>
          <t>Badlands</t>
        </is>
      </c>
      <c r="M12" s="2">
        <f>HYPERLINK("https://tychesoftware.atlassian.net/browse/GTA-1856", "Go to")</f>
        <v/>
      </c>
    </row>
    <row r="13">
      <c r="A13" t="n">
        <v>113</v>
      </c>
      <c r="B13" t="inlineStr">
        <is>
          <t>Farewell, My Love...</t>
        </is>
      </c>
      <c r="C13" t="inlineStr">
        <is>
          <t>GTA-9047</t>
        </is>
      </c>
      <c r="D13" t="inlineStr">
        <is>
          <t>Closed</t>
        </is>
      </c>
      <c r="E13" t="inlineStr">
        <is>
          <t>Medium</t>
        </is>
      </c>
      <c r="F13" t="inlineStr">
        <is>
          <t>Done</t>
        </is>
      </c>
      <c r="G13" t="inlineStr">
        <is>
          <t>Carl Johnson</t>
        </is>
      </c>
      <c r="H13" t="inlineStr">
        <is>
          <t>Carl</t>
        </is>
      </c>
      <c r="I13" s="1" t="n">
        <v>45953.24652777778</v>
      </c>
      <c r="J13" t="n">
        <v>69</v>
      </c>
      <c r="K13" s="1" t="n">
        <v>45956.99930555555</v>
      </c>
      <c r="L13" t="inlineStr">
        <is>
          <t>Badlands</t>
        </is>
      </c>
      <c r="M13" s="2">
        <f>HYPERLINK("https://tychesoftware.atlassian.net/browse/GTA-9047", "Go to")</f>
        <v/>
      </c>
    </row>
    <row r="14">
      <c r="A14" t="n">
        <v>114</v>
      </c>
      <c r="B14" t="inlineStr">
        <is>
          <t>Are You Going to San Fierro?</t>
        </is>
      </c>
      <c r="C14" t="inlineStr">
        <is>
          <t>GTA-5380</t>
        </is>
      </c>
      <c r="D14" t="inlineStr">
        <is>
          <t>Validation</t>
        </is>
      </c>
      <c r="E14" t="inlineStr">
        <is>
          <t>High</t>
        </is>
      </c>
      <c r="F14" t="inlineStr"/>
      <c r="G14" t="inlineStr">
        <is>
          <t>Carl Johnson</t>
        </is>
      </c>
      <c r="H14" t="inlineStr">
        <is>
          <t>Truth</t>
        </is>
      </c>
      <c r="I14" s="1" t="n">
        <v>45889.42638888889</v>
      </c>
      <c r="J14" t="n">
        <v>133</v>
      </c>
      <c r="K14" t="inlineStr">
        <is>
          <t xml:space="preserve"> </t>
        </is>
      </c>
      <c r="L14" t="inlineStr">
        <is>
          <t>Badlands</t>
        </is>
      </c>
      <c r="M14" s="2">
        <f>HYPERLINK("https://tychesoftware.atlassian.net/browse/GTA-5380",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FF00"/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50</v>
      </c>
      <c r="B2" t="inlineStr">
        <is>
          <t>In the Beginning...</t>
        </is>
      </c>
      <c r="C2" t="inlineStr">
        <is>
          <t>GTA-4613</t>
        </is>
      </c>
      <c r="D2" t="inlineStr">
        <is>
          <t>Validation</t>
        </is>
      </c>
      <c r="E2" t="inlineStr">
        <is>
          <t>Blocker</t>
        </is>
      </c>
      <c r="F2" t="inlineStr"/>
      <c r="G2" t="inlineStr">
        <is>
          <t>Tommy Vercetti</t>
        </is>
      </c>
      <c r="H2" t="inlineStr">
        <is>
          <t>Ken</t>
        </is>
      </c>
      <c r="I2" s="1" t="n">
        <v>45952.34166666667</v>
      </c>
      <c r="J2" t="n">
        <v>70</v>
      </c>
      <c r="K2" t="inlineStr">
        <is>
          <t xml:space="preserve"> </t>
        </is>
      </c>
      <c r="L2" t="inlineStr">
        <is>
          <t>Beach</t>
        </is>
      </c>
      <c r="M2" s="2">
        <f>HYPERLINK("https://tychesoftware.atlassian.net/browse/GTA-4613", "Go to")</f>
        <v/>
      </c>
    </row>
    <row r="3">
      <c r="A3" t="n">
        <v>51</v>
      </c>
      <c r="B3" t="inlineStr">
        <is>
          <t>An Old Friend</t>
        </is>
      </c>
      <c r="C3" t="inlineStr">
        <is>
          <t>GTA-7052</t>
        </is>
      </c>
      <c r="D3" t="inlineStr">
        <is>
          <t>Closed</t>
        </is>
      </c>
      <c r="E3" t="inlineStr">
        <is>
          <t>Medium</t>
        </is>
      </c>
      <c r="F3" t="inlineStr">
        <is>
          <t>Done</t>
        </is>
      </c>
      <c r="G3" t="inlineStr">
        <is>
          <t>Tommy Vercetti</t>
        </is>
      </c>
      <c r="H3" t="inlineStr">
        <is>
          <t>Ken</t>
        </is>
      </c>
      <c r="I3" s="1" t="n">
        <v>45885.94027777778</v>
      </c>
      <c r="J3" t="n">
        <v>136</v>
      </c>
      <c r="K3" s="1" t="n">
        <v>45894.99930555555</v>
      </c>
      <c r="L3" t="inlineStr">
        <is>
          <t>Beach</t>
        </is>
      </c>
      <c r="M3" s="2">
        <f>HYPERLINK("https://tychesoftware.atlassian.net/browse/GTA-7052", "Go to")</f>
        <v/>
      </c>
    </row>
    <row r="4">
      <c r="A4" t="n">
        <v>52</v>
      </c>
      <c r="B4" t="inlineStr">
        <is>
          <t>The Party</t>
        </is>
      </c>
      <c r="C4" t="inlineStr">
        <is>
          <t>GTA-1584</t>
        </is>
      </c>
      <c r="D4" t="inlineStr">
        <is>
          <t>To Do</t>
        </is>
      </c>
      <c r="E4" t="inlineStr">
        <is>
          <t>Blocker</t>
        </is>
      </c>
      <c r="F4" t="inlineStr"/>
      <c r="G4" t="inlineStr">
        <is>
          <t>Tommy Vercetti</t>
        </is>
      </c>
      <c r="H4" t="inlineStr">
        <is>
          <t>Ken</t>
        </is>
      </c>
      <c r="I4" s="1" t="n">
        <v>45853.43680555555</v>
      </c>
      <c r="J4" t="n">
        <v>169</v>
      </c>
      <c r="K4" t="inlineStr">
        <is>
          <t xml:space="preserve"> </t>
        </is>
      </c>
      <c r="L4" t="inlineStr">
        <is>
          <t>Beach</t>
        </is>
      </c>
      <c r="M4" s="2">
        <f>HYPERLINK("https://tychesoftware.atlassian.net/browse/GTA-1584", "Go to")</f>
        <v/>
      </c>
    </row>
    <row r="5">
      <c r="A5" t="n">
        <v>53</v>
      </c>
      <c r="B5" t="inlineStr">
        <is>
          <t>Back Alley Brawl</t>
        </is>
      </c>
      <c r="C5" t="inlineStr">
        <is>
          <t>GTA-9320</t>
        </is>
      </c>
      <c r="D5" t="inlineStr">
        <is>
          <t>In Progress</t>
        </is>
      </c>
      <c r="E5" t="inlineStr">
        <is>
          <t>Medium</t>
        </is>
      </c>
      <c r="F5" t="inlineStr"/>
      <c r="G5" t="inlineStr">
        <is>
          <t>Tommy Vercetti</t>
        </is>
      </c>
      <c r="H5" t="inlineStr">
        <is>
          <t>Ken</t>
        </is>
      </c>
      <c r="I5" s="1" t="n">
        <v>45870.83333333334</v>
      </c>
      <c r="J5" t="n">
        <v>151</v>
      </c>
      <c r="K5" t="inlineStr">
        <is>
          <t xml:space="preserve"> </t>
        </is>
      </c>
      <c r="L5" t="inlineStr">
        <is>
          <t>Beach</t>
        </is>
      </c>
      <c r="M5" s="2">
        <f>HYPERLINK("https://tychesoftware.atlassian.net/browse/GTA-9320", "Go to")</f>
        <v/>
      </c>
    </row>
    <row r="6">
      <c r="A6" t="n">
        <v>54</v>
      </c>
      <c r="B6" t="inlineStr">
        <is>
          <t>Jury Fury</t>
        </is>
      </c>
      <c r="C6" t="inlineStr">
        <is>
          <t>GTA-3469</t>
        </is>
      </c>
      <c r="D6" t="inlineStr">
        <is>
          <t>Closed</t>
        </is>
      </c>
      <c r="E6" t="inlineStr">
        <is>
          <t>High</t>
        </is>
      </c>
      <c r="F6" t="inlineStr">
        <is>
          <t>Done</t>
        </is>
      </c>
      <c r="G6" t="inlineStr">
        <is>
          <t>Tommy Vercetti</t>
        </is>
      </c>
      <c r="H6" t="inlineStr">
        <is>
          <t>Ken</t>
        </is>
      </c>
      <c r="I6" s="1" t="n">
        <v>45945.39791666667</v>
      </c>
      <c r="J6" t="n">
        <v>77</v>
      </c>
      <c r="K6" s="1" t="n">
        <v>45997.99930555555</v>
      </c>
      <c r="L6" t="inlineStr">
        <is>
          <t>Beach</t>
        </is>
      </c>
      <c r="M6" s="2">
        <f>HYPERLINK("https://tychesoftware.atlassian.net/browse/GTA-3469", "Go to")</f>
        <v/>
      </c>
    </row>
    <row r="7">
      <c r="A7" t="n">
        <v>55</v>
      </c>
      <c r="B7" t="inlineStr">
        <is>
          <t>Riot</t>
        </is>
      </c>
      <c r="C7" t="inlineStr">
        <is>
          <t>GTA-8097</t>
        </is>
      </c>
      <c r="D7" t="inlineStr">
        <is>
          <t>Validation</t>
        </is>
      </c>
      <c r="E7" t="inlineStr">
        <is>
          <t>Medium</t>
        </is>
      </c>
      <c r="F7" t="inlineStr"/>
      <c r="G7" t="inlineStr">
        <is>
          <t>Tommy Vercetti</t>
        </is>
      </c>
      <c r="H7" t="inlineStr">
        <is>
          <t>Ken</t>
        </is>
      </c>
      <c r="I7" s="1" t="n">
        <v>45954.93125</v>
      </c>
      <c r="J7" t="n">
        <v>67</v>
      </c>
      <c r="K7" t="inlineStr">
        <is>
          <t xml:space="preserve"> </t>
        </is>
      </c>
      <c r="L7" t="inlineStr">
        <is>
          <t>Beach</t>
        </is>
      </c>
      <c r="M7" s="2">
        <f>HYPERLINK("https://tychesoftware.atlassian.net/browse/GTA-8097", "Go to")</f>
        <v/>
      </c>
    </row>
    <row r="8">
      <c r="A8" t="n">
        <v>56</v>
      </c>
      <c r="B8" t="inlineStr">
        <is>
          <t>Treacherous Swine</t>
        </is>
      </c>
      <c r="C8" t="inlineStr">
        <is>
          <t>GTA-2714</t>
        </is>
      </c>
      <c r="D8" t="inlineStr">
        <is>
          <t>To Do</t>
        </is>
      </c>
      <c r="E8" t="inlineStr">
        <is>
          <t>Medium</t>
        </is>
      </c>
      <c r="F8" t="inlineStr"/>
      <c r="G8" t="inlineStr">
        <is>
          <t>Tommy Vercetti</t>
        </is>
      </c>
      <c r="H8" t="inlineStr">
        <is>
          <t>Cortez</t>
        </is>
      </c>
      <c r="I8" s="1" t="n">
        <v>45981.71180555555</v>
      </c>
      <c r="J8" t="n">
        <v>40</v>
      </c>
      <c r="K8" t="inlineStr">
        <is>
          <t xml:space="preserve"> </t>
        </is>
      </c>
      <c r="L8" t="inlineStr">
        <is>
          <t>Beach</t>
        </is>
      </c>
      <c r="M8" s="2">
        <f>HYPERLINK("https://tychesoftware.atlassian.net/browse/GTA-2714", "Go to")</f>
        <v/>
      </c>
    </row>
    <row r="9">
      <c r="A9" t="n">
        <v>57</v>
      </c>
      <c r="B9" t="inlineStr">
        <is>
          <t>Mall Shootout</t>
        </is>
      </c>
      <c r="C9" t="inlineStr">
        <is>
          <t>GTA-6540</t>
        </is>
      </c>
      <c r="D9" t="inlineStr">
        <is>
          <t>Closed</t>
        </is>
      </c>
      <c r="E9" t="inlineStr">
        <is>
          <t>High</t>
        </is>
      </c>
      <c r="F9" t="inlineStr">
        <is>
          <t>Done</t>
        </is>
      </c>
      <c r="G9" t="inlineStr">
        <is>
          <t>Tommy Vercetti</t>
        </is>
      </c>
      <c r="H9" t="inlineStr">
        <is>
          <t>Cortez</t>
        </is>
      </c>
      <c r="I9" s="1" t="n">
        <v>45949.53263888889</v>
      </c>
      <c r="J9" t="n">
        <v>73</v>
      </c>
      <c r="K9" s="1" t="n">
        <v>46000.99930555555</v>
      </c>
      <c r="L9" t="inlineStr">
        <is>
          <t>Beach</t>
        </is>
      </c>
      <c r="M9" s="2">
        <f>HYPERLINK("https://tychesoftware.atlassian.net/browse/GTA-6540", "Go to")</f>
        <v/>
      </c>
    </row>
    <row r="10">
      <c r="A10" t="n">
        <v>58</v>
      </c>
      <c r="B10" t="inlineStr">
        <is>
          <t>Guardian Angels</t>
        </is>
      </c>
      <c r="C10" t="inlineStr">
        <is>
          <t>GTA-0973</t>
        </is>
      </c>
      <c r="D10" t="inlineStr">
        <is>
          <t>In Progress</t>
        </is>
      </c>
      <c r="E10" t="inlineStr">
        <is>
          <t>Medium</t>
        </is>
      </c>
      <c r="F10" t="inlineStr"/>
      <c r="G10" t="inlineStr">
        <is>
          <t>Tommy Vercetti</t>
        </is>
      </c>
      <c r="H10" t="inlineStr">
        <is>
          <t>Cortez</t>
        </is>
      </c>
      <c r="I10" s="1" t="n">
        <v>45990.28611111111</v>
      </c>
      <c r="J10" t="n">
        <v>32</v>
      </c>
      <c r="K10" t="inlineStr">
        <is>
          <t xml:space="preserve"> </t>
        </is>
      </c>
      <c r="L10" t="inlineStr">
        <is>
          <t>Beach</t>
        </is>
      </c>
      <c r="M10" s="2">
        <f>HYPERLINK("https://tychesoftware.atlassian.net/browse/GTA-0973", "Go to")</f>
        <v/>
      </c>
    </row>
    <row r="11">
      <c r="A11" t="n">
        <v>59</v>
      </c>
      <c r="B11" t="inlineStr">
        <is>
          <t>Sir, Yes Sir!</t>
        </is>
      </c>
      <c r="C11" t="inlineStr">
        <is>
          <t>GTA-5836</t>
        </is>
      </c>
      <c r="D11" t="inlineStr">
        <is>
          <t>Validation</t>
        </is>
      </c>
      <c r="E11" t="inlineStr">
        <is>
          <t>High</t>
        </is>
      </c>
      <c r="F11" t="inlineStr"/>
      <c r="G11" t="inlineStr">
        <is>
          <t>Tommy Vercetti</t>
        </is>
      </c>
      <c r="H11" t="inlineStr">
        <is>
          <t>Cortez</t>
        </is>
      </c>
      <c r="I11" s="1" t="n">
        <v>45960.59166666667</v>
      </c>
      <c r="J11" t="n">
        <v>61</v>
      </c>
      <c r="K11" t="inlineStr">
        <is>
          <t xml:space="preserve"> </t>
        </is>
      </c>
      <c r="L11" t="inlineStr">
        <is>
          <t>Beach</t>
        </is>
      </c>
      <c r="M11" s="2">
        <f>HYPERLINK("https://tychesoftware.atlassian.net/browse/GTA-5836", "Go to")</f>
        <v/>
      </c>
    </row>
    <row r="12">
      <c r="A12" t="n">
        <v>60</v>
      </c>
      <c r="B12" t="inlineStr">
        <is>
          <t>All Hands on Deck!</t>
        </is>
      </c>
      <c r="C12" t="inlineStr">
        <is>
          <t>GTA-7421</t>
        </is>
      </c>
      <c r="D12" t="inlineStr">
        <is>
          <t>To Do</t>
        </is>
      </c>
      <c r="E12" t="inlineStr">
        <is>
          <t>High</t>
        </is>
      </c>
      <c r="F12" t="inlineStr"/>
      <c r="G12" t="inlineStr">
        <is>
          <t>Tommy Vercetti</t>
        </is>
      </c>
      <c r="H12" t="inlineStr">
        <is>
          <t>Cortez</t>
        </is>
      </c>
      <c r="I12" s="1" t="n">
        <v>45854.76875</v>
      </c>
      <c r="J12" t="n">
        <v>167</v>
      </c>
      <c r="K12" t="inlineStr">
        <is>
          <t xml:space="preserve"> </t>
        </is>
      </c>
      <c r="L12" t="inlineStr">
        <is>
          <t>Beach</t>
        </is>
      </c>
      <c r="M12" s="2">
        <f>HYPERLINK("https://tychesoftware.atlassian.net/browse/GTA-7421", "Go to")</f>
        <v/>
      </c>
    </row>
    <row r="13">
      <c r="A13" t="n">
        <v>65</v>
      </c>
      <c r="B13" t="inlineStr">
        <is>
          <t>Death Row</t>
        </is>
      </c>
      <c r="C13" t="inlineStr">
        <is>
          <t>GTA-9274</t>
        </is>
      </c>
      <c r="D13" t="inlineStr">
        <is>
          <t>To Do</t>
        </is>
      </c>
      <c r="E13" t="inlineStr">
        <is>
          <t>Blocker</t>
        </is>
      </c>
      <c r="F13" t="inlineStr"/>
      <c r="G13" t="inlineStr">
        <is>
          <t>Tommy Vercetti</t>
        </is>
      </c>
      <c r="H13" t="inlineStr">
        <is>
          <t>Kent</t>
        </is>
      </c>
      <c r="I13" s="1" t="n">
        <v>45868.96319444444</v>
      </c>
      <c r="J13" t="n">
        <v>153</v>
      </c>
      <c r="K13" t="inlineStr">
        <is>
          <t xml:space="preserve"> </t>
        </is>
      </c>
      <c r="L13" t="inlineStr">
        <is>
          <t>Beach</t>
        </is>
      </c>
      <c r="M13" s="2">
        <f>HYPERLINK("https://tychesoftware.atlassian.net/browse/GTA-9274",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FF00"/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131</v>
      </c>
      <c r="B2" t="inlineStr">
        <is>
          <t>Black Project</t>
        </is>
      </c>
      <c r="C2" t="inlineStr">
        <is>
          <t>GTA-5196</t>
        </is>
      </c>
      <c r="D2" t="inlineStr">
        <is>
          <t>Validation</t>
        </is>
      </c>
      <c r="E2" t="inlineStr">
        <is>
          <t>High</t>
        </is>
      </c>
      <c r="F2" t="inlineStr"/>
      <c r="G2" t="inlineStr">
        <is>
          <t>Carl Johnson</t>
        </is>
      </c>
      <c r="H2" t="inlineStr">
        <is>
          <t>Truth</t>
        </is>
      </c>
      <c r="I2" s="1" t="n">
        <v>45941.89583333334</v>
      </c>
      <c r="J2" t="n">
        <v>80</v>
      </c>
      <c r="K2" t="inlineStr">
        <is>
          <t xml:space="preserve"> </t>
        </is>
      </c>
      <c r="L2" t="inlineStr">
        <is>
          <t>Desert</t>
        </is>
      </c>
      <c r="M2" s="2">
        <f>HYPERLINK("https://tychesoftware.atlassian.net/browse/GTA-5196", "Go to")</f>
        <v/>
      </c>
    </row>
    <row r="3">
      <c r="A3" t="n">
        <v>132</v>
      </c>
      <c r="B3" t="inlineStr">
        <is>
          <t>Green Goo</t>
        </is>
      </c>
      <c r="C3" t="inlineStr">
        <is>
          <t>GTA-2304</t>
        </is>
      </c>
      <c r="D3" t="inlineStr">
        <is>
          <t>To Do</t>
        </is>
      </c>
      <c r="E3" t="inlineStr">
        <is>
          <t>Blocker</t>
        </is>
      </c>
      <c r="F3" t="inlineStr"/>
      <c r="G3" t="inlineStr">
        <is>
          <t>Carl Johnson</t>
        </is>
      </c>
      <c r="H3" t="inlineStr">
        <is>
          <t>Truth</t>
        </is>
      </c>
      <c r="I3" s="1" t="n">
        <v>45903.22152777778</v>
      </c>
      <c r="J3" t="n">
        <v>119</v>
      </c>
      <c r="K3" t="inlineStr">
        <is>
          <t xml:space="preserve"> </t>
        </is>
      </c>
      <c r="L3" t="inlineStr">
        <is>
          <t>Desert</t>
        </is>
      </c>
      <c r="M3" s="2">
        <f>HYPERLINK("https://tychesoftware.atlassian.net/browse/GTA-2304",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0FF00"/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70</v>
      </c>
      <c r="B2" t="inlineStr">
        <is>
          <t>Spilling the Beans</t>
        </is>
      </c>
      <c r="C2" t="inlineStr">
        <is>
          <t>GTA-0742</t>
        </is>
      </c>
      <c r="D2" t="inlineStr">
        <is>
          <t>In Progress</t>
        </is>
      </c>
      <c r="E2" t="inlineStr">
        <is>
          <t>Medium</t>
        </is>
      </c>
      <c r="F2" t="inlineStr"/>
      <c r="G2" t="inlineStr">
        <is>
          <t>Tommy Vercetti</t>
        </is>
      </c>
      <c r="H2" t="inlineStr">
        <is>
          <t>Print Works</t>
        </is>
      </c>
      <c r="I2" s="1" t="n">
        <v>45879.27916666667</v>
      </c>
      <c r="J2" t="n">
        <v>143</v>
      </c>
      <c r="K2" t="inlineStr">
        <is>
          <t xml:space="preserve"> </t>
        </is>
      </c>
      <c r="L2" t="inlineStr">
        <is>
          <t>Downtown</t>
        </is>
      </c>
      <c r="M2" s="2">
        <f>HYPERLINK("https://tychesoftware.atlassian.net/browse/GTA-0742", "Go to")</f>
        <v/>
      </c>
    </row>
    <row r="3">
      <c r="A3" t="n">
        <v>71</v>
      </c>
      <c r="B3" t="inlineStr">
        <is>
          <t>Hit the Courier</t>
        </is>
      </c>
      <c r="C3" t="inlineStr">
        <is>
          <t>GTA-8519</t>
        </is>
      </c>
      <c r="D3" t="inlineStr">
        <is>
          <t>Validation</t>
        </is>
      </c>
      <c r="E3" t="inlineStr">
        <is>
          <t>Blocker</t>
        </is>
      </c>
      <c r="F3" t="inlineStr"/>
      <c r="G3" t="inlineStr">
        <is>
          <t>Tommy Vercetti</t>
        </is>
      </c>
      <c r="H3" t="inlineStr">
        <is>
          <t>Print Works</t>
        </is>
      </c>
      <c r="I3" s="1" t="n">
        <v>45978.37222222222</v>
      </c>
      <c r="J3" t="n">
        <v>44</v>
      </c>
      <c r="K3" t="inlineStr">
        <is>
          <t xml:space="preserve"> </t>
        </is>
      </c>
      <c r="L3" t="inlineStr">
        <is>
          <t>Downtown</t>
        </is>
      </c>
      <c r="M3" s="2">
        <f>HYPERLINK("https://tychesoftware.atlassian.net/browse/GTA-8519", "Go to")</f>
        <v/>
      </c>
    </row>
    <row r="4">
      <c r="A4" t="n">
        <v>72</v>
      </c>
      <c r="B4" t="inlineStr">
        <is>
          <t>Print Works</t>
        </is>
      </c>
      <c r="C4" t="inlineStr">
        <is>
          <t>GTA-4963</t>
        </is>
      </c>
      <c r="D4" t="inlineStr">
        <is>
          <t>Closed</t>
        </is>
      </c>
      <c r="E4" t="inlineStr">
        <is>
          <t>Medium</t>
        </is>
      </c>
      <c r="F4" t="inlineStr">
        <is>
          <t>Done</t>
        </is>
      </c>
      <c r="G4" t="inlineStr">
        <is>
          <t>Tommy Vercetti</t>
        </is>
      </c>
      <c r="H4" t="inlineStr">
        <is>
          <t>Print Works</t>
        </is>
      </c>
      <c r="I4" s="1" t="n">
        <v>45904.54444444444</v>
      </c>
      <c r="J4" t="n">
        <v>118</v>
      </c>
      <c r="K4" s="1" t="n">
        <v>45915.99930555555</v>
      </c>
      <c r="L4" t="inlineStr">
        <is>
          <t>Downtown</t>
        </is>
      </c>
      <c r="M4" s="2">
        <f>HYPERLINK("https://tychesoftware.atlassian.net/browse/GTA-4963", "Go to")</f>
        <v/>
      </c>
    </row>
    <row r="5">
      <c r="A5" t="n">
        <v>73</v>
      </c>
      <c r="B5" t="inlineStr">
        <is>
          <t>Cap the Collector</t>
        </is>
      </c>
      <c r="C5" t="inlineStr">
        <is>
          <t>GTA-2107</t>
        </is>
      </c>
      <c r="D5" t="inlineStr">
        <is>
          <t>To Do</t>
        </is>
      </c>
      <c r="E5" t="inlineStr">
        <is>
          <t>Medium</t>
        </is>
      </c>
      <c r="F5" t="inlineStr"/>
      <c r="G5" t="inlineStr">
        <is>
          <t>Tommy Vercetti</t>
        </is>
      </c>
      <c r="H5" t="inlineStr">
        <is>
          <t>Print Works</t>
        </is>
      </c>
      <c r="I5" s="1" t="n">
        <v>45872.90833333333</v>
      </c>
      <c r="J5" t="n">
        <v>149</v>
      </c>
      <c r="K5" t="inlineStr">
        <is>
          <t xml:space="preserve"> </t>
        </is>
      </c>
      <c r="L5" t="inlineStr">
        <is>
          <t>Downtown</t>
        </is>
      </c>
      <c r="M5" s="2">
        <f>HYPERLINK("https://tychesoftware.atlassian.net/browse/GTA-2107",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0FF00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134</v>
      </c>
      <c r="B2" t="inlineStr">
        <is>
          <t>Fender Ketchup</t>
        </is>
      </c>
      <c r="C2" t="inlineStr">
        <is>
          <t>GTA-4075</t>
        </is>
      </c>
      <c r="D2" t="inlineStr">
        <is>
          <t>In Progress</t>
        </is>
      </c>
      <c r="E2" t="inlineStr">
        <is>
          <t>Blocker</t>
        </is>
      </c>
      <c r="F2" t="inlineStr"/>
      <c r="G2" t="inlineStr">
        <is>
          <t>Carl Johnson</t>
        </is>
      </c>
      <c r="H2" t="inlineStr">
        <is>
          <t>Woozie</t>
        </is>
      </c>
      <c r="I2" s="1" t="n">
        <v>45866.33819444444</v>
      </c>
      <c r="J2" t="n">
        <v>156</v>
      </c>
      <c r="K2" t="inlineStr">
        <is>
          <t xml:space="preserve"> </t>
        </is>
      </c>
      <c r="L2" t="inlineStr">
        <is>
          <t>Las Venturas</t>
        </is>
      </c>
      <c r="M2" s="2">
        <f>HYPERLINK("https://tychesoftware.atlassian.net/browse/GTA-4075", "Go to")</f>
        <v/>
      </c>
    </row>
    <row r="3">
      <c r="A3" t="n">
        <v>135</v>
      </c>
      <c r="B3" t="inlineStr">
        <is>
          <t>Explosive Situation</t>
        </is>
      </c>
      <c r="C3" t="inlineStr">
        <is>
          <t>GTA-7529</t>
        </is>
      </c>
      <c r="D3" t="inlineStr">
        <is>
          <t>Validation</t>
        </is>
      </c>
      <c r="E3" t="inlineStr">
        <is>
          <t>Medium</t>
        </is>
      </c>
      <c r="F3" t="inlineStr"/>
      <c r="G3" t="inlineStr">
        <is>
          <t>Carl Johnson</t>
        </is>
      </c>
      <c r="H3" t="inlineStr">
        <is>
          <t>Woozie</t>
        </is>
      </c>
      <c r="I3" s="1" t="n">
        <v>45932.96875</v>
      </c>
      <c r="J3" t="n">
        <v>89</v>
      </c>
      <c r="K3" t="inlineStr">
        <is>
          <t xml:space="preserve"> </t>
        </is>
      </c>
      <c r="L3" t="inlineStr">
        <is>
          <t>Las Venturas</t>
        </is>
      </c>
      <c r="M3" s="2">
        <f>HYPERLINK("https://tychesoftware.atlassian.net/browse/GTA-7529", "Go to")</f>
        <v/>
      </c>
    </row>
    <row r="4">
      <c r="A4" t="n">
        <v>136</v>
      </c>
      <c r="B4" t="inlineStr">
        <is>
          <t>You've Had Your Chips</t>
        </is>
      </c>
      <c r="C4" t="inlineStr">
        <is>
          <t>GTA-3184</t>
        </is>
      </c>
      <c r="D4" t="inlineStr">
        <is>
          <t>Closed</t>
        </is>
      </c>
      <c r="E4" t="inlineStr">
        <is>
          <t>Medium</t>
        </is>
      </c>
      <c r="F4" t="inlineStr">
        <is>
          <t>Done</t>
        </is>
      </c>
      <c r="G4" t="inlineStr">
        <is>
          <t>Carl Johnson</t>
        </is>
      </c>
      <c r="H4" t="inlineStr">
        <is>
          <t>Woozie</t>
        </is>
      </c>
      <c r="I4" s="1" t="n">
        <v>45892.14513888889</v>
      </c>
      <c r="J4" t="n">
        <v>130</v>
      </c>
      <c r="K4" s="1" t="n">
        <v>45979.99930555555</v>
      </c>
      <c r="L4" t="inlineStr">
        <is>
          <t>Las Venturas</t>
        </is>
      </c>
      <c r="M4" s="2">
        <f>HYPERLINK("https://tychesoftware.atlassian.net/browse/GTA-3184", "Go to")</f>
        <v/>
      </c>
    </row>
    <row r="5">
      <c r="A5" t="n">
        <v>137</v>
      </c>
      <c r="B5" t="inlineStr">
        <is>
          <t>Don Peyote</t>
        </is>
      </c>
      <c r="C5" t="inlineStr">
        <is>
          <t>GTA-6907</t>
        </is>
      </c>
      <c r="D5" t="inlineStr">
        <is>
          <t>To Do</t>
        </is>
      </c>
      <c r="E5" t="inlineStr">
        <is>
          <t>Medium</t>
        </is>
      </c>
      <c r="F5" t="inlineStr"/>
      <c r="G5" t="inlineStr">
        <is>
          <t>Carl Johnson</t>
        </is>
      </c>
      <c r="H5" t="inlineStr">
        <is>
          <t>Truth</t>
        </is>
      </c>
      <c r="I5" s="1" t="n">
        <v>45874.60763888889</v>
      </c>
      <c r="J5" t="n">
        <v>147</v>
      </c>
      <c r="K5" t="inlineStr">
        <is>
          <t xml:space="preserve"> </t>
        </is>
      </c>
      <c r="L5" t="inlineStr">
        <is>
          <t>Las Venturas</t>
        </is>
      </c>
      <c r="M5" s="2">
        <f>HYPERLINK("https://tychesoftware.atlassian.net/browse/GTA-6907", "Go to")</f>
        <v/>
      </c>
    </row>
    <row r="6">
      <c r="A6" t="n">
        <v>138</v>
      </c>
      <c r="B6" t="inlineStr">
        <is>
          <t>Architectural Espionage</t>
        </is>
      </c>
      <c r="C6" t="inlineStr">
        <is>
          <t>GTA-1289</t>
        </is>
      </c>
      <c r="D6" t="inlineStr">
        <is>
          <t>In Progress</t>
        </is>
      </c>
      <c r="E6" t="inlineStr">
        <is>
          <t>Medium</t>
        </is>
      </c>
      <c r="F6" t="inlineStr"/>
      <c r="G6" t="inlineStr">
        <is>
          <t>Carl Johnson</t>
        </is>
      </c>
      <c r="H6" t="inlineStr">
        <is>
          <t>Heist</t>
        </is>
      </c>
      <c r="I6" s="1" t="n">
        <v>45901.32152777778</v>
      </c>
      <c r="J6" t="n">
        <v>121</v>
      </c>
      <c r="K6" t="inlineStr">
        <is>
          <t xml:space="preserve"> </t>
        </is>
      </c>
      <c r="L6" t="inlineStr">
        <is>
          <t>Las Venturas</t>
        </is>
      </c>
      <c r="M6" s="2">
        <f>HYPERLINK("https://tychesoftware.atlassian.net/browse/GTA-1289", "Go to")</f>
        <v/>
      </c>
    </row>
    <row r="7">
      <c r="A7" t="n">
        <v>139</v>
      </c>
      <c r="B7" t="inlineStr">
        <is>
          <t>Key to Her Heart</t>
        </is>
      </c>
      <c r="C7" t="inlineStr">
        <is>
          <t>GTA-8456</t>
        </is>
      </c>
      <c r="D7" t="inlineStr">
        <is>
          <t>Closed</t>
        </is>
      </c>
      <c r="E7" t="inlineStr">
        <is>
          <t>High</t>
        </is>
      </c>
      <c r="F7" t="inlineStr">
        <is>
          <t>Done</t>
        </is>
      </c>
      <c r="G7" t="inlineStr">
        <is>
          <t>Carl Johnson</t>
        </is>
      </c>
      <c r="H7" t="inlineStr">
        <is>
          <t>Heist</t>
        </is>
      </c>
      <c r="I7" s="1" t="n">
        <v>45919.95069444444</v>
      </c>
      <c r="J7" t="n">
        <v>102</v>
      </c>
      <c r="K7" s="1" t="n">
        <v>45982.99930555555</v>
      </c>
      <c r="L7" t="inlineStr">
        <is>
          <t>Las Venturas</t>
        </is>
      </c>
      <c r="M7" s="2">
        <f>HYPERLINK("https://tychesoftware.atlassian.net/browse/GTA-8456", "Go to")</f>
        <v/>
      </c>
    </row>
    <row r="8">
      <c r="A8" t="n">
        <v>140</v>
      </c>
      <c r="B8" t="inlineStr">
        <is>
          <t>Breaking the Bank at Caligula's</t>
        </is>
      </c>
      <c r="C8" t="inlineStr">
        <is>
          <t>GTA-4920</t>
        </is>
      </c>
      <c r="D8" t="inlineStr">
        <is>
          <t>Validation</t>
        </is>
      </c>
      <c r="E8" t="inlineStr">
        <is>
          <t>Medium</t>
        </is>
      </c>
      <c r="F8" t="inlineStr"/>
      <c r="G8" t="inlineStr">
        <is>
          <t>Carl Johnson</t>
        </is>
      </c>
      <c r="H8" t="inlineStr">
        <is>
          <t>Heist</t>
        </is>
      </c>
      <c r="I8" s="1" t="n">
        <v>45867.74652777778</v>
      </c>
      <c r="J8" t="n">
        <v>154</v>
      </c>
      <c r="K8" t="inlineStr">
        <is>
          <t xml:space="preserve"> </t>
        </is>
      </c>
      <c r="L8" t="inlineStr">
        <is>
          <t>Las Venturas</t>
        </is>
      </c>
      <c r="M8" s="2">
        <f>HYPERLINK("https://tychesoftware.atlassian.net/browse/GTA-4920", "Go to")</f>
        <v/>
      </c>
    </row>
    <row r="9">
      <c r="A9" t="n">
        <v>141</v>
      </c>
      <c r="B9" t="inlineStr">
        <is>
          <t>A Home in the Hills</t>
        </is>
      </c>
      <c r="C9" t="inlineStr">
        <is>
          <t>GTA-7013</t>
        </is>
      </c>
      <c r="D9" t="inlineStr">
        <is>
          <t>To Do</t>
        </is>
      </c>
      <c r="E9" t="inlineStr">
        <is>
          <t>Blocker</t>
        </is>
      </c>
      <c r="F9" t="inlineStr"/>
      <c r="G9" t="inlineStr">
        <is>
          <t>Carl Johnson</t>
        </is>
      </c>
      <c r="H9" t="inlineStr">
        <is>
          <t>Woozie</t>
        </is>
      </c>
      <c r="I9" s="1" t="n">
        <v>45947.00833333333</v>
      </c>
      <c r="J9" t="n">
        <v>75</v>
      </c>
      <c r="K9" t="inlineStr">
        <is>
          <t xml:space="preserve"> </t>
        </is>
      </c>
      <c r="L9" t="inlineStr">
        <is>
          <t>Las Venturas</t>
        </is>
      </c>
      <c r="M9" s="2">
        <f>HYPERLINK("https://tychesoftware.atlassian.net/browse/GTA-7013", "Go to")</f>
        <v/>
      </c>
    </row>
    <row r="10">
      <c r="A10" t="n">
        <v>145</v>
      </c>
      <c r="B10" t="inlineStr">
        <is>
          <t>Saint Mark's Bistro</t>
        </is>
      </c>
      <c r="C10" t="inlineStr">
        <is>
          <t>GTA-8457</t>
        </is>
      </c>
      <c r="D10" t="inlineStr">
        <is>
          <t>To Do</t>
        </is>
      </c>
      <c r="E10" t="inlineStr">
        <is>
          <t>Medium</t>
        </is>
      </c>
      <c r="F10" t="inlineStr"/>
      <c r="G10" t="inlineStr">
        <is>
          <t>Carl Johnson</t>
        </is>
      </c>
      <c r="H10" t="inlineStr">
        <is>
          <t>Salvatore</t>
        </is>
      </c>
      <c r="I10" s="1" t="n">
        <v>45851.48541666667</v>
      </c>
      <c r="J10" t="n">
        <v>171</v>
      </c>
      <c r="K10" t="inlineStr">
        <is>
          <t xml:space="preserve"> </t>
        </is>
      </c>
      <c r="L10" t="inlineStr">
        <is>
          <t>Las Venturas</t>
        </is>
      </c>
      <c r="M10" s="2">
        <f>HYPERLINK("https://tychesoftware.atlassian.net/browse/GTA-8457", "Go to")</f>
        <v/>
      </c>
    </row>
    <row r="11">
      <c r="A11" t="n">
        <v>146</v>
      </c>
      <c r="B11" t="inlineStr">
        <is>
          <t>Breaking the Bank at Caligula's</t>
        </is>
      </c>
      <c r="C11" t="inlineStr">
        <is>
          <t>GTA-4921</t>
        </is>
      </c>
      <c r="D11" t="inlineStr">
        <is>
          <t>Closed</t>
        </is>
      </c>
      <c r="E11" t="inlineStr">
        <is>
          <t>Medium</t>
        </is>
      </c>
      <c r="F11" t="inlineStr">
        <is>
          <t>Done</t>
        </is>
      </c>
      <c r="G11" t="inlineStr">
        <is>
          <t>Carl Johnson</t>
        </is>
      </c>
      <c r="H11" t="inlineStr">
        <is>
          <t>Heist</t>
        </is>
      </c>
      <c r="I11" s="1" t="n">
        <v>45971.2625</v>
      </c>
      <c r="J11" t="n">
        <v>51</v>
      </c>
      <c r="K11" s="1" t="n">
        <v>45989.99930555555</v>
      </c>
      <c r="L11" t="inlineStr">
        <is>
          <t>Las Venturas</t>
        </is>
      </c>
      <c r="M11" s="2">
        <f>HYPERLINK("https://tychesoftware.atlassian.net/browse/GTA-4921",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0FF00"/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75</v>
      </c>
      <c r="B2" t="inlineStr">
        <is>
          <t>Big Smoke</t>
        </is>
      </c>
      <c r="C2" t="inlineStr">
        <is>
          <t>GTA-3645</t>
        </is>
      </c>
      <c r="D2" t="inlineStr">
        <is>
          <t>Closed</t>
        </is>
      </c>
      <c r="E2" t="inlineStr">
        <is>
          <t>High</t>
        </is>
      </c>
      <c r="F2" t="inlineStr">
        <is>
          <t>Done</t>
        </is>
      </c>
      <c r="G2" t="inlineStr">
        <is>
          <t>Carl Johnson</t>
        </is>
      </c>
      <c r="H2" t="inlineStr">
        <is>
          <t>Carl</t>
        </is>
      </c>
      <c r="I2" s="1" t="n">
        <v>45878.80486111111</v>
      </c>
      <c r="J2" t="n">
        <v>143</v>
      </c>
      <c r="K2" s="1" t="n">
        <v>45918.99930555555</v>
      </c>
      <c r="L2" t="inlineStr">
        <is>
          <t>Los Santos</t>
        </is>
      </c>
      <c r="M2" s="2">
        <f>HYPERLINK("https://tychesoftware.atlassian.net/browse/GTA-3645", "Go to")</f>
        <v/>
      </c>
    </row>
    <row r="3">
      <c r="A3" t="n">
        <v>76</v>
      </c>
      <c r="B3" t="inlineStr">
        <is>
          <t>Sweet &amp; Kendl</t>
        </is>
      </c>
      <c r="C3" t="inlineStr">
        <is>
          <t>GTA-7028</t>
        </is>
      </c>
      <c r="D3" t="inlineStr">
        <is>
          <t>In Progress</t>
        </is>
      </c>
      <c r="E3" t="inlineStr">
        <is>
          <t>Medium</t>
        </is>
      </c>
      <c r="F3" t="inlineStr"/>
      <c r="G3" t="inlineStr">
        <is>
          <t>Carl Johnson</t>
        </is>
      </c>
      <c r="H3" t="inlineStr">
        <is>
          <t>Carl</t>
        </is>
      </c>
      <c r="I3" s="1" t="n">
        <v>45956.46944444445</v>
      </c>
      <c r="J3" t="n">
        <v>66</v>
      </c>
      <c r="K3" t="inlineStr">
        <is>
          <t xml:space="preserve"> </t>
        </is>
      </c>
      <c r="L3" t="inlineStr">
        <is>
          <t>Los Santos</t>
        </is>
      </c>
      <c r="M3" s="2">
        <f>HYPERLINK("https://tychesoftware.atlassian.net/browse/GTA-7028", "Go to")</f>
        <v/>
      </c>
    </row>
    <row r="4">
      <c r="A4" t="n">
        <v>77</v>
      </c>
      <c r="B4" t="inlineStr">
        <is>
          <t>Ryder</t>
        </is>
      </c>
      <c r="C4" t="inlineStr">
        <is>
          <t>GTA-1596</t>
        </is>
      </c>
      <c r="D4" t="inlineStr">
        <is>
          <t>To Do</t>
        </is>
      </c>
      <c r="E4" t="inlineStr">
        <is>
          <t>High</t>
        </is>
      </c>
      <c r="F4" t="inlineStr"/>
      <c r="G4" t="inlineStr">
        <is>
          <t>Carl Johnson</t>
        </is>
      </c>
      <c r="H4" t="inlineStr">
        <is>
          <t>Ryder</t>
        </is>
      </c>
      <c r="I4" s="1" t="n">
        <v>45973.59722222222</v>
      </c>
      <c r="J4" t="n">
        <v>48</v>
      </c>
      <c r="K4" t="inlineStr">
        <is>
          <t xml:space="preserve"> </t>
        </is>
      </c>
      <c r="L4" t="inlineStr">
        <is>
          <t>Los Santos</t>
        </is>
      </c>
      <c r="M4" s="2">
        <f>HYPERLINK("https://tychesoftware.atlassian.net/browse/GTA-1596", "Go to")</f>
        <v/>
      </c>
    </row>
    <row r="5">
      <c r="A5" t="n">
        <v>78</v>
      </c>
      <c r="B5" t="inlineStr">
        <is>
          <t>Tagging Up Turf</t>
        </is>
      </c>
      <c r="C5" t="inlineStr">
        <is>
          <t>GTA-8340</t>
        </is>
      </c>
      <c r="D5" t="inlineStr">
        <is>
          <t>Validation</t>
        </is>
      </c>
      <c r="E5" t="inlineStr">
        <is>
          <t>High</t>
        </is>
      </c>
      <c r="F5" t="inlineStr"/>
      <c r="G5" t="inlineStr">
        <is>
          <t>Carl Johnson</t>
        </is>
      </c>
      <c r="H5" t="inlineStr">
        <is>
          <t>Sweet</t>
        </is>
      </c>
      <c r="I5" s="1" t="n">
        <v>45950.23194444444</v>
      </c>
      <c r="J5" t="n">
        <v>72</v>
      </c>
      <c r="K5" t="inlineStr">
        <is>
          <t xml:space="preserve"> </t>
        </is>
      </c>
      <c r="L5" t="inlineStr">
        <is>
          <t>Los Santos</t>
        </is>
      </c>
      <c r="M5" s="2">
        <f>HYPERLINK("https://tychesoftware.atlassian.net/browse/GTA-8340", "Go to")</f>
        <v/>
      </c>
    </row>
    <row r="6">
      <c r="A6" t="n">
        <v>79</v>
      </c>
      <c r="B6" t="inlineStr">
        <is>
          <t>Cleaning the Hood</t>
        </is>
      </c>
      <c r="C6" t="inlineStr">
        <is>
          <t>GTA-5279</t>
        </is>
      </c>
      <c r="D6" t="inlineStr">
        <is>
          <t>Closed</t>
        </is>
      </c>
      <c r="E6" t="inlineStr">
        <is>
          <t>Blocker</t>
        </is>
      </c>
      <c r="F6" t="inlineStr">
        <is>
          <t>Done</t>
        </is>
      </c>
      <c r="G6" t="inlineStr">
        <is>
          <t>Carl Johnson</t>
        </is>
      </c>
      <c r="H6" t="inlineStr">
        <is>
          <t>Sweet</t>
        </is>
      </c>
      <c r="I6" s="1" t="n">
        <v>45871.30625</v>
      </c>
      <c r="J6" t="n">
        <v>151</v>
      </c>
      <c r="K6" s="1" t="n">
        <v>45922.99930555555</v>
      </c>
      <c r="L6" t="inlineStr">
        <is>
          <t>Los Santos</t>
        </is>
      </c>
      <c r="M6" s="2">
        <f>HYPERLINK("https://tychesoftware.atlassian.net/browse/GTA-5279", "Go to")</f>
        <v/>
      </c>
    </row>
    <row r="7">
      <c r="A7" t="n">
        <v>80</v>
      </c>
      <c r="B7" t="inlineStr">
        <is>
          <t>Drive-Thru</t>
        </is>
      </c>
      <c r="C7" t="inlineStr">
        <is>
          <t>GTA-0418</t>
        </is>
      </c>
      <c r="D7" t="inlineStr">
        <is>
          <t>In Progress</t>
        </is>
      </c>
      <c r="E7" t="inlineStr">
        <is>
          <t>High</t>
        </is>
      </c>
      <c r="F7" t="inlineStr"/>
      <c r="G7" t="inlineStr">
        <is>
          <t>Carl Johnson</t>
        </is>
      </c>
      <c r="H7" t="inlineStr">
        <is>
          <t>Sweet</t>
        </is>
      </c>
      <c r="I7" s="1" t="n">
        <v>45962.94583333333</v>
      </c>
      <c r="J7" t="n">
        <v>59</v>
      </c>
      <c r="K7" t="inlineStr">
        <is>
          <t xml:space="preserve"> </t>
        </is>
      </c>
      <c r="L7" t="inlineStr">
        <is>
          <t>Los Santos</t>
        </is>
      </c>
      <c r="M7" s="2">
        <f>HYPERLINK("https://tychesoftware.atlassian.net/browse/GTA-0418", "Go to")</f>
        <v/>
      </c>
    </row>
    <row r="8">
      <c r="A8" t="n">
        <v>81</v>
      </c>
      <c r="B8" t="inlineStr">
        <is>
          <t>Nines and AKs</t>
        </is>
      </c>
      <c r="C8" t="inlineStr">
        <is>
          <t>GTA-6903</t>
        </is>
      </c>
      <c r="D8" t="inlineStr">
        <is>
          <t>To Do</t>
        </is>
      </c>
      <c r="E8" t="inlineStr">
        <is>
          <t>Medium</t>
        </is>
      </c>
      <c r="F8" t="inlineStr"/>
      <c r="G8" t="inlineStr">
        <is>
          <t>Carl Johnson</t>
        </is>
      </c>
      <c r="H8" t="inlineStr">
        <is>
          <t>Sweet</t>
        </is>
      </c>
      <c r="I8" s="1" t="n">
        <v>45959.07430555556</v>
      </c>
      <c r="J8" t="n">
        <v>63</v>
      </c>
      <c r="K8" t="inlineStr">
        <is>
          <t xml:space="preserve"> </t>
        </is>
      </c>
      <c r="L8" t="inlineStr">
        <is>
          <t>Los Santos</t>
        </is>
      </c>
      <c r="M8" s="2">
        <f>HYPERLINK("https://tychesoftware.atlassian.net/browse/GTA-6903", "Go to")</f>
        <v/>
      </c>
    </row>
    <row r="9">
      <c r="A9" t="n">
        <v>82</v>
      </c>
      <c r="B9" t="inlineStr">
        <is>
          <t>Drive-By</t>
        </is>
      </c>
      <c r="C9" t="inlineStr">
        <is>
          <t>GTA-2785</t>
        </is>
      </c>
      <c r="D9" t="inlineStr">
        <is>
          <t>Closed</t>
        </is>
      </c>
      <c r="E9" t="inlineStr">
        <is>
          <t>Medium</t>
        </is>
      </c>
      <c r="F9" t="inlineStr">
        <is>
          <t>Done</t>
        </is>
      </c>
      <c r="G9" t="inlineStr">
        <is>
          <t>Carl Johnson</t>
        </is>
      </c>
      <c r="H9" t="inlineStr">
        <is>
          <t>Sweet</t>
        </is>
      </c>
      <c r="I9" s="1" t="n">
        <v>45940.33194444444</v>
      </c>
      <c r="J9" t="n">
        <v>82</v>
      </c>
      <c r="K9" s="1" t="n">
        <v>46025.99930555555</v>
      </c>
      <c r="L9" t="inlineStr">
        <is>
          <t>Los Santos</t>
        </is>
      </c>
      <c r="M9" s="2">
        <f>HYPERLINK("https://tychesoftware.atlassian.net/browse/GTA-2785", "Go to")</f>
        <v/>
      </c>
    </row>
    <row r="10">
      <c r="A10" t="n">
        <v>83</v>
      </c>
      <c r="B10" t="inlineStr">
        <is>
          <t>Sweet's Girl</t>
        </is>
      </c>
      <c r="C10" t="inlineStr">
        <is>
          <t>GTA-9451</t>
        </is>
      </c>
      <c r="D10" t="inlineStr">
        <is>
          <t>Validation</t>
        </is>
      </c>
      <c r="E10" t="inlineStr">
        <is>
          <t>Medium</t>
        </is>
      </c>
      <c r="F10" t="inlineStr"/>
      <c r="G10" t="inlineStr">
        <is>
          <t>Carl Johnson</t>
        </is>
      </c>
      <c r="H10" t="inlineStr">
        <is>
          <t>Sweet</t>
        </is>
      </c>
      <c r="I10" s="1" t="n">
        <v>45939.64583333334</v>
      </c>
      <c r="J10" t="n">
        <v>82</v>
      </c>
      <c r="K10" t="inlineStr">
        <is>
          <t xml:space="preserve"> </t>
        </is>
      </c>
      <c r="L10" t="inlineStr">
        <is>
          <t>Los Santos</t>
        </is>
      </c>
      <c r="M10" s="2">
        <f>HYPERLINK("https://tychesoftware.atlassian.net/browse/GTA-9451", "Go to")</f>
        <v/>
      </c>
    </row>
    <row r="11">
      <c r="A11" t="n">
        <v>84</v>
      </c>
      <c r="B11" t="inlineStr">
        <is>
          <t>Cesar Vialpando</t>
        </is>
      </c>
      <c r="C11" t="inlineStr">
        <is>
          <t>GTA-4167</t>
        </is>
      </c>
      <c r="D11" t="inlineStr">
        <is>
          <t>In Progress</t>
        </is>
      </c>
      <c r="E11" t="inlineStr">
        <is>
          <t>Medium</t>
        </is>
      </c>
      <c r="F11" t="inlineStr"/>
      <c r="G11" t="inlineStr">
        <is>
          <t>Carl Johnson</t>
        </is>
      </c>
      <c r="H11" t="inlineStr">
        <is>
          <t>Sweet</t>
        </is>
      </c>
      <c r="I11" s="1" t="n">
        <v>45984.75833333333</v>
      </c>
      <c r="J11" t="n">
        <v>37</v>
      </c>
      <c r="K11" t="inlineStr">
        <is>
          <t xml:space="preserve"> </t>
        </is>
      </c>
      <c r="L11" t="inlineStr">
        <is>
          <t>Los Santos</t>
        </is>
      </c>
      <c r="M11" s="2">
        <f>HYPERLINK("https://tychesoftware.atlassian.net/browse/GTA-4167", "Go to")</f>
        <v/>
      </c>
    </row>
    <row r="12">
      <c r="A12" t="n">
        <v>85</v>
      </c>
      <c r="B12" t="inlineStr">
        <is>
          <t>Home Invasion</t>
        </is>
      </c>
      <c r="C12" t="inlineStr">
        <is>
          <t>GTA-8309</t>
        </is>
      </c>
      <c r="D12" t="inlineStr">
        <is>
          <t>Closed</t>
        </is>
      </c>
      <c r="E12" t="inlineStr">
        <is>
          <t>Medium</t>
        </is>
      </c>
      <c r="F12" t="inlineStr">
        <is>
          <t>Done</t>
        </is>
      </c>
      <c r="G12" t="inlineStr">
        <is>
          <t>Carl Johnson</t>
        </is>
      </c>
      <c r="H12" t="inlineStr">
        <is>
          <t>Ryder</t>
        </is>
      </c>
      <c r="I12" s="1" t="n">
        <v>45891.53819444445</v>
      </c>
      <c r="J12" t="n">
        <v>131</v>
      </c>
      <c r="K12" s="1" t="n">
        <v>45928.99930555555</v>
      </c>
      <c r="L12" t="inlineStr">
        <is>
          <t>Los Santos</t>
        </is>
      </c>
      <c r="M12" s="2">
        <f>HYPERLINK("https://tychesoftware.atlassian.net/browse/GTA-8309", "Go to")</f>
        <v/>
      </c>
    </row>
    <row r="13">
      <c r="A13" t="n">
        <v>86</v>
      </c>
      <c r="B13" t="inlineStr">
        <is>
          <t>Catalyst</t>
        </is>
      </c>
      <c r="C13" t="inlineStr">
        <is>
          <t>GTA-5624</t>
        </is>
      </c>
      <c r="D13" t="inlineStr">
        <is>
          <t>To Do</t>
        </is>
      </c>
      <c r="E13" t="inlineStr">
        <is>
          <t>Medium</t>
        </is>
      </c>
      <c r="F13" t="inlineStr"/>
      <c r="G13" t="inlineStr">
        <is>
          <t>Carl Johnson</t>
        </is>
      </c>
      <c r="H13" t="inlineStr">
        <is>
          <t>Ryder</t>
        </is>
      </c>
      <c r="I13" s="1" t="n">
        <v>45928.99930555555</v>
      </c>
      <c r="J13" t="n">
        <v>93</v>
      </c>
      <c r="K13" t="inlineStr">
        <is>
          <t xml:space="preserve"> </t>
        </is>
      </c>
      <c r="L13" t="inlineStr">
        <is>
          <t>Los Santos</t>
        </is>
      </c>
      <c r="M13" s="2">
        <f>HYPERLINK("https://tychesoftware.atlassian.net/browse/GTA-5624", "Go to")</f>
        <v/>
      </c>
    </row>
    <row r="14">
      <c r="A14" t="n">
        <v>87</v>
      </c>
      <c r="B14" t="inlineStr">
        <is>
          <t>Robbing Uncle Sam</t>
        </is>
      </c>
      <c r="C14" t="inlineStr">
        <is>
          <t>GTA-1073</t>
        </is>
      </c>
      <c r="D14" t="inlineStr">
        <is>
          <t>Validation</t>
        </is>
      </c>
      <c r="E14" t="inlineStr">
        <is>
          <t>High</t>
        </is>
      </c>
      <c r="F14" t="inlineStr"/>
      <c r="G14" t="inlineStr">
        <is>
          <t>Carl Johnson</t>
        </is>
      </c>
      <c r="H14" t="inlineStr">
        <is>
          <t>Ryder</t>
        </is>
      </c>
      <c r="I14" s="1" t="n">
        <v>45884.18055555555</v>
      </c>
      <c r="J14" t="n">
        <v>138</v>
      </c>
      <c r="K14" t="inlineStr">
        <is>
          <t xml:space="preserve"> </t>
        </is>
      </c>
      <c r="L14" t="inlineStr">
        <is>
          <t>Los Santos</t>
        </is>
      </c>
      <c r="M14" s="2">
        <f>HYPERLINK("https://tychesoftware.atlassian.net/browse/GTA-1073", "Go to")</f>
        <v/>
      </c>
    </row>
    <row r="15">
      <c r="A15" t="n">
        <v>88</v>
      </c>
      <c r="B15" t="inlineStr">
        <is>
          <t>OG Loc</t>
        </is>
      </c>
      <c r="C15" t="inlineStr">
        <is>
          <t>GTA-7981</t>
        </is>
      </c>
      <c r="D15" t="inlineStr">
        <is>
          <t>In Progress</t>
        </is>
      </c>
      <c r="E15" t="inlineStr">
        <is>
          <t>Medium</t>
        </is>
      </c>
      <c r="F15" t="inlineStr"/>
      <c r="G15" t="inlineStr">
        <is>
          <t>Carl Johnson</t>
        </is>
      </c>
      <c r="H15" t="inlineStr">
        <is>
          <t>Big Smoke</t>
        </is>
      </c>
      <c r="I15" s="1" t="n">
        <v>45860.61388888889</v>
      </c>
      <c r="J15" t="n">
        <v>161</v>
      </c>
      <c r="K15" t="inlineStr">
        <is>
          <t xml:space="preserve"> </t>
        </is>
      </c>
      <c r="L15" t="inlineStr">
        <is>
          <t>Los Santos</t>
        </is>
      </c>
      <c r="M15" s="2">
        <f>HYPERLINK("https://tychesoftware.atlassian.net/browse/GTA-7981", "Go to")</f>
        <v/>
      </c>
    </row>
    <row r="16">
      <c r="A16" t="n">
        <v>89</v>
      </c>
      <c r="B16" t="inlineStr">
        <is>
          <t>Running Dog</t>
        </is>
      </c>
      <c r="C16" t="inlineStr">
        <is>
          <t>GTA-3546</t>
        </is>
      </c>
      <c r="D16" t="inlineStr">
        <is>
          <t>Closed</t>
        </is>
      </c>
      <c r="E16" t="inlineStr">
        <is>
          <t>Medium</t>
        </is>
      </c>
      <c r="F16" t="inlineStr">
        <is>
          <t>Done</t>
        </is>
      </c>
      <c r="G16" t="inlineStr">
        <is>
          <t>Carl Johnson</t>
        </is>
      </c>
      <c r="H16" t="inlineStr">
        <is>
          <t>Big Smoke</t>
        </is>
      </c>
      <c r="I16" s="1" t="n">
        <v>45880.77291666667</v>
      </c>
      <c r="J16" t="n">
        <v>141</v>
      </c>
      <c r="K16" s="1" t="n">
        <v>45932.99930555555</v>
      </c>
      <c r="L16" t="inlineStr">
        <is>
          <t>Los Santos</t>
        </is>
      </c>
      <c r="M16" s="2">
        <f>HYPERLINK("https://tychesoftware.atlassian.net/browse/GTA-3546", "Go to")</f>
        <v/>
      </c>
    </row>
    <row r="17">
      <c r="A17" t="n">
        <v>90</v>
      </c>
      <c r="B17" t="inlineStr">
        <is>
          <t>Wrong Side of the Tracks</t>
        </is>
      </c>
      <c r="C17" t="inlineStr">
        <is>
          <t>GTA-6210</t>
        </is>
      </c>
      <c r="D17" t="inlineStr">
        <is>
          <t>To Do</t>
        </is>
      </c>
      <c r="E17" t="inlineStr">
        <is>
          <t>Medium</t>
        </is>
      </c>
      <c r="F17" t="inlineStr"/>
      <c r="G17" t="inlineStr">
        <is>
          <t>Carl Johnson</t>
        </is>
      </c>
      <c r="H17" t="inlineStr">
        <is>
          <t>Big Smoke</t>
        </is>
      </c>
      <c r="I17" s="1" t="n">
        <v>45864.20555555556</v>
      </c>
      <c r="J17" t="n">
        <v>158</v>
      </c>
      <c r="K17" t="inlineStr">
        <is>
          <t xml:space="preserve"> </t>
        </is>
      </c>
      <c r="L17" t="inlineStr">
        <is>
          <t>Los Santos</t>
        </is>
      </c>
      <c r="M17" s="2">
        <f>HYPERLINK("https://tychesoftware.atlassian.net/browse/GTA-6210", "Go to")</f>
        <v/>
      </c>
    </row>
    <row r="18">
      <c r="A18" t="n">
        <v>91</v>
      </c>
      <c r="B18" t="inlineStr">
        <is>
          <t>Just Business</t>
        </is>
      </c>
      <c r="C18" t="inlineStr">
        <is>
          <t>GTA-0849</t>
        </is>
      </c>
      <c r="D18" t="inlineStr">
        <is>
          <t>In Progress</t>
        </is>
      </c>
      <c r="E18" t="inlineStr">
        <is>
          <t>Blocker</t>
        </is>
      </c>
      <c r="F18" t="inlineStr"/>
      <c r="G18" t="inlineStr">
        <is>
          <t>Carl Johnson</t>
        </is>
      </c>
      <c r="H18" t="inlineStr">
        <is>
          <t>Big Smoke</t>
        </is>
      </c>
      <c r="I18" s="1" t="n">
        <v>45922.38055555556</v>
      </c>
      <c r="J18" t="n">
        <v>100</v>
      </c>
      <c r="K18" t="inlineStr">
        <is>
          <t xml:space="preserve"> </t>
        </is>
      </c>
      <c r="L18" t="inlineStr">
        <is>
          <t>Los Santos</t>
        </is>
      </c>
      <c r="M18" s="2">
        <f>HYPERLINK("https://tychesoftware.atlassian.net/browse/GTA-0849", "Go to")</f>
        <v/>
      </c>
    </row>
    <row r="19">
      <c r="A19" t="n">
        <v>92</v>
      </c>
      <c r="B19" t="inlineStr">
        <is>
          <t>Life's a Beach</t>
        </is>
      </c>
      <c r="C19" t="inlineStr">
        <is>
          <t>GTA-9726</t>
        </is>
      </c>
      <c r="D19" t="inlineStr">
        <is>
          <t>Closed</t>
        </is>
      </c>
      <c r="E19" t="inlineStr">
        <is>
          <t>High</t>
        </is>
      </c>
      <c r="F19" t="inlineStr">
        <is>
          <t>Done</t>
        </is>
      </c>
      <c r="G19" t="inlineStr">
        <is>
          <t>Carl Johnson</t>
        </is>
      </c>
      <c r="H19" t="inlineStr">
        <is>
          <t>OG Loc</t>
        </is>
      </c>
      <c r="I19" s="1" t="n">
        <v>45915.83819444444</v>
      </c>
      <c r="J19" t="n">
        <v>106</v>
      </c>
      <c r="K19" s="1" t="n">
        <v>45935.99930555555</v>
      </c>
      <c r="L19" t="inlineStr">
        <is>
          <t>Los Santos</t>
        </is>
      </c>
      <c r="M19" s="2">
        <f>HYPERLINK("https://tychesoftware.atlassian.net/browse/GTA-9726", "Go to")</f>
        <v/>
      </c>
    </row>
    <row r="20">
      <c r="A20" t="n">
        <v>93</v>
      </c>
      <c r="B20" t="inlineStr">
        <is>
          <t>Madd Dogg's Rhymes</t>
        </is>
      </c>
      <c r="C20" t="inlineStr">
        <is>
          <t>GTA-4381</t>
        </is>
      </c>
      <c r="D20" t="inlineStr">
        <is>
          <t>Validation</t>
        </is>
      </c>
      <c r="E20" t="inlineStr">
        <is>
          <t>Blocker</t>
        </is>
      </c>
      <c r="F20" t="inlineStr"/>
      <c r="G20" t="inlineStr">
        <is>
          <t>Carl Johnson</t>
        </is>
      </c>
      <c r="H20" t="inlineStr">
        <is>
          <t>OG Loc</t>
        </is>
      </c>
      <c r="I20" s="1" t="n">
        <v>45965.03055555555</v>
      </c>
      <c r="J20" t="n">
        <v>57</v>
      </c>
      <c r="K20" t="inlineStr">
        <is>
          <t xml:space="preserve"> </t>
        </is>
      </c>
      <c r="L20" t="inlineStr">
        <is>
          <t>Los Santos</t>
        </is>
      </c>
      <c r="M20" s="2">
        <f>HYPERLINK("https://tychesoftware.atlassian.net/browse/GTA-4381", "Go to")</f>
        <v/>
      </c>
    </row>
    <row r="21">
      <c r="A21" t="n">
        <v>94</v>
      </c>
      <c r="B21" t="inlineStr">
        <is>
          <t>Management Issues</t>
        </is>
      </c>
      <c r="C21" t="inlineStr">
        <is>
          <t>GTA-7054</t>
        </is>
      </c>
      <c r="D21" t="inlineStr">
        <is>
          <t>To Do</t>
        </is>
      </c>
      <c r="E21" t="inlineStr">
        <is>
          <t>Medium</t>
        </is>
      </c>
      <c r="F21" t="inlineStr"/>
      <c r="G21" t="inlineStr">
        <is>
          <t>Carl Johnson</t>
        </is>
      </c>
      <c r="H21" t="inlineStr">
        <is>
          <t>OG Loc</t>
        </is>
      </c>
      <c r="I21" s="1" t="n">
        <v>45955.11041666667</v>
      </c>
      <c r="J21" t="n">
        <v>67</v>
      </c>
      <c r="K21" t="inlineStr">
        <is>
          <t xml:space="preserve"> </t>
        </is>
      </c>
      <c r="L21" t="inlineStr">
        <is>
          <t>Los Santos</t>
        </is>
      </c>
      <c r="M21" s="2">
        <f>HYPERLINK("https://tychesoftware.atlassian.net/browse/GTA-7054", "Go to")</f>
        <v/>
      </c>
    </row>
    <row r="22">
      <c r="A22" t="n">
        <v>95</v>
      </c>
      <c r="B22" t="inlineStr">
        <is>
          <t>House Party</t>
        </is>
      </c>
      <c r="C22" t="inlineStr">
        <is>
          <t>GTA-2169</t>
        </is>
      </c>
      <c r="D22" t="inlineStr">
        <is>
          <t>Closed</t>
        </is>
      </c>
      <c r="E22" t="inlineStr">
        <is>
          <t>High</t>
        </is>
      </c>
      <c r="F22" t="inlineStr">
        <is>
          <t>Done</t>
        </is>
      </c>
      <c r="G22" t="inlineStr">
        <is>
          <t>Carl Johnson</t>
        </is>
      </c>
      <c r="H22" t="inlineStr">
        <is>
          <t>OG Loc</t>
        </is>
      </c>
      <c r="I22" s="1" t="n">
        <v>45877.96527777778</v>
      </c>
      <c r="J22" t="n">
        <v>144</v>
      </c>
      <c r="K22" s="1" t="n">
        <v>45938.99930555555</v>
      </c>
      <c r="L22" t="inlineStr">
        <is>
          <t>Los Santos</t>
        </is>
      </c>
      <c r="M22" s="2">
        <f>HYPERLINK("https://tychesoftware.atlassian.net/browse/GTA-2169", "Go to")</f>
        <v/>
      </c>
    </row>
    <row r="23">
      <c r="A23" t="n">
        <v>96</v>
      </c>
      <c r="B23" t="inlineStr">
        <is>
          <t>Burning Desire</t>
        </is>
      </c>
      <c r="C23" t="inlineStr">
        <is>
          <t>GTA-8907</t>
        </is>
      </c>
      <c r="D23" t="inlineStr">
        <is>
          <t>In Progress</t>
        </is>
      </c>
      <c r="E23" t="inlineStr">
        <is>
          <t>High</t>
        </is>
      </c>
      <c r="F23" t="inlineStr"/>
      <c r="G23" t="inlineStr">
        <is>
          <t>Carl Johnson</t>
        </is>
      </c>
      <c r="H23" t="inlineStr">
        <is>
          <t>CRASH</t>
        </is>
      </c>
      <c r="I23" s="1" t="n">
        <v>45875.51458333333</v>
      </c>
      <c r="J23" t="n">
        <v>147</v>
      </c>
      <c r="K23" t="inlineStr">
        <is>
          <t xml:space="preserve"> </t>
        </is>
      </c>
      <c r="L23" t="inlineStr">
        <is>
          <t>Los Santos</t>
        </is>
      </c>
      <c r="M23" s="2">
        <f>HYPERLINK("https://tychesoftware.atlassian.net/browse/GTA-8907", "Go to")</f>
        <v/>
      </c>
    </row>
    <row r="24">
      <c r="A24" t="n">
        <v>97</v>
      </c>
      <c r="B24" t="inlineStr">
        <is>
          <t>Gray Imports</t>
        </is>
      </c>
      <c r="C24" t="inlineStr">
        <is>
          <t>GTA-5638</t>
        </is>
      </c>
      <c r="D24" t="inlineStr">
        <is>
          <t>Validation</t>
        </is>
      </c>
      <c r="E24" t="inlineStr">
        <is>
          <t>High</t>
        </is>
      </c>
      <c r="F24" t="inlineStr"/>
      <c r="G24" t="inlineStr">
        <is>
          <t>Carl Johnson</t>
        </is>
      </c>
      <c r="H24" t="inlineStr">
        <is>
          <t>CRASH</t>
        </is>
      </c>
      <c r="I24" s="1" t="n">
        <v>45912.41736111111</v>
      </c>
      <c r="J24" t="n">
        <v>110</v>
      </c>
      <c r="K24" t="inlineStr">
        <is>
          <t xml:space="preserve"> </t>
        </is>
      </c>
      <c r="L24" t="inlineStr">
        <is>
          <t>Los Santos</t>
        </is>
      </c>
      <c r="M24" s="2">
        <f>HYPERLINK("https://tychesoftware.atlassian.net/browse/GTA-5638", "Go to")</f>
        <v/>
      </c>
    </row>
    <row r="25">
      <c r="A25" t="n">
        <v>98</v>
      </c>
      <c r="B25" t="inlineStr">
        <is>
          <t>Doberman</t>
        </is>
      </c>
      <c r="C25" t="inlineStr">
        <is>
          <t>GTA-1492</t>
        </is>
      </c>
      <c r="D25" t="inlineStr">
        <is>
          <t>To Do</t>
        </is>
      </c>
      <c r="E25" t="inlineStr">
        <is>
          <t>Medium</t>
        </is>
      </c>
      <c r="F25" t="inlineStr"/>
      <c r="G25" t="inlineStr">
        <is>
          <t>Carl Johnson</t>
        </is>
      </c>
      <c r="H25" t="inlineStr">
        <is>
          <t>Sweet</t>
        </is>
      </c>
      <c r="I25" s="1" t="n">
        <v>45855.92083333333</v>
      </c>
      <c r="J25" t="n">
        <v>166</v>
      </c>
      <c r="K25" t="inlineStr">
        <is>
          <t xml:space="preserve"> </t>
        </is>
      </c>
      <c r="L25" t="inlineStr">
        <is>
          <t>Los Santos</t>
        </is>
      </c>
      <c r="M25" s="2">
        <f>HYPERLINK("https://tychesoftware.atlassian.net/browse/GTA-1492", "Go to")</f>
        <v/>
      </c>
    </row>
    <row r="26">
      <c r="A26" t="n">
        <v>99</v>
      </c>
      <c r="B26" t="inlineStr">
        <is>
          <t>Los Sepulcros</t>
        </is>
      </c>
      <c r="C26" t="inlineStr">
        <is>
          <t>GTA-9378</t>
        </is>
      </c>
      <c r="D26" t="inlineStr">
        <is>
          <t>Closed</t>
        </is>
      </c>
      <c r="E26" t="inlineStr">
        <is>
          <t>Blocker</t>
        </is>
      </c>
      <c r="F26" t="inlineStr">
        <is>
          <t>Done</t>
        </is>
      </c>
      <c r="G26" t="inlineStr">
        <is>
          <t>Carl Johnson</t>
        </is>
      </c>
      <c r="H26" t="inlineStr">
        <is>
          <t>Sweet</t>
        </is>
      </c>
      <c r="I26" s="1" t="n">
        <v>45980.40972222222</v>
      </c>
      <c r="J26" t="n">
        <v>42</v>
      </c>
      <c r="K26" s="1" t="n">
        <v>46042.99930555555</v>
      </c>
      <c r="L26" t="inlineStr">
        <is>
          <t>Los Santos</t>
        </is>
      </c>
      <c r="M26" s="2">
        <f>HYPERLINK("https://tychesoftware.atlassian.net/browse/GTA-9378", "Go to")</f>
        <v/>
      </c>
    </row>
    <row r="27">
      <c r="A27" t="n">
        <v>100</v>
      </c>
      <c r="B27" t="inlineStr">
        <is>
          <t>Reuniting the Families</t>
        </is>
      </c>
      <c r="C27" t="inlineStr">
        <is>
          <t>GTA-4206</t>
        </is>
      </c>
      <c r="D27" t="inlineStr">
        <is>
          <t>In Progress</t>
        </is>
      </c>
      <c r="E27" t="inlineStr">
        <is>
          <t>Blocker</t>
        </is>
      </c>
      <c r="F27" t="inlineStr"/>
      <c r="G27" t="inlineStr">
        <is>
          <t>Carl Johnson</t>
        </is>
      </c>
      <c r="H27" t="inlineStr">
        <is>
          <t>Sweet</t>
        </is>
      </c>
      <c r="I27" s="1" t="n">
        <v>45937.75208333333</v>
      </c>
      <c r="J27" t="n">
        <v>84</v>
      </c>
      <c r="K27" t="inlineStr">
        <is>
          <t xml:space="preserve"> </t>
        </is>
      </c>
      <c r="L27" t="inlineStr">
        <is>
          <t>Los Santos</t>
        </is>
      </c>
      <c r="M27" s="2">
        <f>HYPERLINK("https://tychesoftware.atlassian.net/browse/GTA-4206", "Go to")</f>
        <v/>
      </c>
    </row>
    <row r="28">
      <c r="A28" t="n">
        <v>101</v>
      </c>
      <c r="B28" t="inlineStr">
        <is>
          <t>The Green Sabre</t>
        </is>
      </c>
      <c r="C28" t="inlineStr">
        <is>
          <t>GTA-6819</t>
        </is>
      </c>
      <c r="D28" t="inlineStr">
        <is>
          <t>Validation</t>
        </is>
      </c>
      <c r="E28" t="inlineStr">
        <is>
          <t>High</t>
        </is>
      </c>
      <c r="F28" t="inlineStr"/>
      <c r="G28" t="inlineStr">
        <is>
          <t>Carl Johnson</t>
        </is>
      </c>
      <c r="H28" t="inlineStr">
        <is>
          <t>Sweet</t>
        </is>
      </c>
      <c r="I28" s="1" t="n">
        <v>45927.30208333334</v>
      </c>
      <c r="J28" t="n">
        <v>95</v>
      </c>
      <c r="K28" t="inlineStr">
        <is>
          <t xml:space="preserve"> </t>
        </is>
      </c>
      <c r="L28" t="inlineStr">
        <is>
          <t>Los Santos</t>
        </is>
      </c>
      <c r="M28" s="2">
        <f>HYPERLINK("https://tychesoftware.atlassian.net/browse/GTA-6819", "Go to")</f>
        <v/>
      </c>
    </row>
    <row r="29">
      <c r="A29" t="n">
        <v>142</v>
      </c>
      <c r="B29" t="inlineStr">
        <is>
          <t>Vertical Bird</t>
        </is>
      </c>
      <c r="C29" t="inlineStr">
        <is>
          <t>GTA-2648</t>
        </is>
      </c>
      <c r="D29" t="inlineStr">
        <is>
          <t>Closed</t>
        </is>
      </c>
      <c r="E29" t="inlineStr">
        <is>
          <t>Medium</t>
        </is>
      </c>
      <c r="F29" t="inlineStr">
        <is>
          <t>Done</t>
        </is>
      </c>
      <c r="G29" t="inlineStr">
        <is>
          <t>Carl Johnson</t>
        </is>
      </c>
      <c r="H29" t="inlineStr">
        <is>
          <t>Toreno</t>
        </is>
      </c>
      <c r="I29" s="1" t="n">
        <v>45967.37569444445</v>
      </c>
      <c r="J29" t="n">
        <v>55</v>
      </c>
      <c r="K29" s="1" t="n">
        <v>45985.99930555555</v>
      </c>
      <c r="L29" t="inlineStr">
        <is>
          <t>Los Santos</t>
        </is>
      </c>
      <c r="M29" s="2">
        <f>HYPERLINK("https://tychesoftware.atlassian.net/browse/GTA-2648", "Go to")</f>
        <v/>
      </c>
    </row>
    <row r="30">
      <c r="A30" t="n">
        <v>143</v>
      </c>
      <c r="B30" t="inlineStr">
        <is>
          <t>Home Coming</t>
        </is>
      </c>
      <c r="C30" t="inlineStr">
        <is>
          <t>GTA-6379</t>
        </is>
      </c>
      <c r="D30" t="inlineStr">
        <is>
          <t>In Progress</t>
        </is>
      </c>
      <c r="E30" t="inlineStr">
        <is>
          <t>Medium</t>
        </is>
      </c>
      <c r="F30" t="inlineStr"/>
      <c r="G30" t="inlineStr">
        <is>
          <t>Carl Johnson</t>
        </is>
      </c>
      <c r="H30" t="inlineStr">
        <is>
          <t>Toreno</t>
        </is>
      </c>
      <c r="I30" s="1" t="n">
        <v>45988.83055555556</v>
      </c>
      <c r="J30" t="n">
        <v>33</v>
      </c>
      <c r="K30" t="inlineStr">
        <is>
          <t xml:space="preserve"> </t>
        </is>
      </c>
      <c r="L30" t="inlineStr">
        <is>
          <t>Los Santos</t>
        </is>
      </c>
      <c r="M30" s="2">
        <f>HYPERLINK("https://tychesoftware.atlassian.net/browse/GTA-6379", "Go to")</f>
        <v/>
      </c>
    </row>
    <row r="31">
      <c r="A31" t="n">
        <v>144</v>
      </c>
      <c r="B31" t="inlineStr">
        <is>
          <t>Cut Throat Business</t>
        </is>
      </c>
      <c r="C31" t="inlineStr">
        <is>
          <t>GTA-1284</t>
        </is>
      </c>
      <c r="D31" t="inlineStr">
        <is>
          <t>Validation</t>
        </is>
      </c>
      <c r="E31" t="inlineStr">
        <is>
          <t>Medium</t>
        </is>
      </c>
      <c r="F31" t="inlineStr"/>
      <c r="G31" t="inlineStr">
        <is>
          <t>Carl Johnson</t>
        </is>
      </c>
      <c r="H31" t="inlineStr">
        <is>
          <t>Sweet</t>
        </is>
      </c>
      <c r="I31" s="1" t="n">
        <v>45975.42708333334</v>
      </c>
      <c r="J31" t="n">
        <v>47</v>
      </c>
      <c r="K31" t="inlineStr">
        <is>
          <t xml:space="preserve"> </t>
        </is>
      </c>
      <c r="L31" t="inlineStr">
        <is>
          <t>Los Santos</t>
        </is>
      </c>
      <c r="M31" s="2">
        <f>HYPERLINK("https://tychesoftware.atlassian.net/browse/GTA-1284", "Go to")</f>
        <v/>
      </c>
    </row>
    <row r="32">
      <c r="A32" t="n">
        <v>147</v>
      </c>
      <c r="B32" t="inlineStr">
        <is>
          <t>End of the Line</t>
        </is>
      </c>
      <c r="C32" t="inlineStr">
        <is>
          <t>GTA-7012</t>
        </is>
      </c>
      <c r="D32" t="inlineStr">
        <is>
          <t>In Progress</t>
        </is>
      </c>
      <c r="E32" t="inlineStr">
        <is>
          <t>Medium</t>
        </is>
      </c>
      <c r="F32" t="inlineStr"/>
      <c r="G32" t="inlineStr">
        <is>
          <t>Carl Johnson</t>
        </is>
      </c>
      <c r="H32" t="inlineStr">
        <is>
          <t>Sweet</t>
        </is>
      </c>
      <c r="I32" s="1" t="n">
        <v>45977.89236111111</v>
      </c>
      <c r="J32" t="n">
        <v>44</v>
      </c>
      <c r="K32" t="inlineStr">
        <is>
          <t xml:space="preserve"> </t>
        </is>
      </c>
      <c r="L32" t="inlineStr">
        <is>
          <t>Los Santos</t>
        </is>
      </c>
      <c r="M32" s="2">
        <f>HYPERLINK("https://tychesoftware.atlassian.net/browse/GTA-7012",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0FF00"/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1</v>
      </c>
      <c r="B2" t="inlineStr">
        <is>
          <t>Give Me Liberty</t>
        </is>
      </c>
      <c r="C2" t="inlineStr">
        <is>
          <t>GTA-4827</t>
        </is>
      </c>
      <c r="D2" t="inlineStr">
        <is>
          <t>In Progress</t>
        </is>
      </c>
      <c r="E2" t="inlineStr">
        <is>
          <t>High</t>
        </is>
      </c>
      <c r="F2" t="inlineStr"/>
      <c r="G2" t="inlineStr">
        <is>
          <t>Claude Speed</t>
        </is>
      </c>
      <c r="H2" t="inlineStr">
        <is>
          <t>8 Ball</t>
        </is>
      </c>
      <c r="I2" s="1" t="n">
        <v>45849.92569444444</v>
      </c>
      <c r="J2" t="n">
        <v>172</v>
      </c>
      <c r="K2" t="inlineStr">
        <is>
          <t xml:space="preserve"> </t>
        </is>
      </c>
      <c r="L2" t="inlineStr">
        <is>
          <t>Portland</t>
        </is>
      </c>
      <c r="M2" s="2">
        <f>HYPERLINK("https://tychesoftware.atlassian.net/browse/GTA-4827", "Go to")</f>
        <v/>
      </c>
    </row>
    <row r="3">
      <c r="A3" t="n">
        <v>2</v>
      </c>
      <c r="B3" t="inlineStr">
        <is>
          <t>Luigi's Girls</t>
        </is>
      </c>
      <c r="C3" t="inlineStr">
        <is>
          <t>GTA-1934</t>
        </is>
      </c>
      <c r="D3" t="inlineStr">
        <is>
          <t>To Do</t>
        </is>
      </c>
      <c r="E3" t="inlineStr">
        <is>
          <t>High</t>
        </is>
      </c>
      <c r="F3" t="inlineStr"/>
      <c r="G3" t="inlineStr">
        <is>
          <t>Claude Speed</t>
        </is>
      </c>
      <c r="H3" t="inlineStr">
        <is>
          <t>Luigi</t>
        </is>
      </c>
      <c r="I3" s="1" t="n">
        <v>45862.41458333333</v>
      </c>
      <c r="J3" t="n">
        <v>160</v>
      </c>
      <c r="K3" t="inlineStr">
        <is>
          <t xml:space="preserve"> </t>
        </is>
      </c>
      <c r="L3" t="inlineStr">
        <is>
          <t>Portland</t>
        </is>
      </c>
      <c r="M3" s="2">
        <f>HYPERLINK("https://tychesoftware.atlassian.net/browse/GTA-1934", "Go to")</f>
        <v/>
      </c>
    </row>
    <row r="4">
      <c r="A4" t="n">
        <v>3</v>
      </c>
      <c r="B4" t="inlineStr">
        <is>
          <t>DSMBU</t>
        </is>
      </c>
      <c r="C4" t="inlineStr">
        <is>
          <t>GTA-7601</t>
        </is>
      </c>
      <c r="D4" t="inlineStr">
        <is>
          <t>Closed</t>
        </is>
      </c>
      <c r="E4" t="inlineStr">
        <is>
          <t>Blocker</t>
        </is>
      </c>
      <c r="F4" t="inlineStr">
        <is>
          <t>Done</t>
        </is>
      </c>
      <c r="G4" t="inlineStr">
        <is>
          <t>Claude Speed</t>
        </is>
      </c>
      <c r="H4" t="inlineStr">
        <is>
          <t>Luigi</t>
        </is>
      </c>
      <c r="I4" s="1" t="n">
        <v>45873.69722222222</v>
      </c>
      <c r="J4" t="n">
        <v>148</v>
      </c>
      <c r="K4" s="1" t="n">
        <v>45946.28472222222</v>
      </c>
      <c r="L4" t="inlineStr">
        <is>
          <t>Portland</t>
        </is>
      </c>
      <c r="M4" s="2">
        <f>HYPERLINK("https://tychesoftware.atlassian.net/browse/GTA-7601", "Go to")</f>
        <v/>
      </c>
    </row>
    <row r="5">
      <c r="A5" t="n">
        <v>4</v>
      </c>
      <c r="B5" t="inlineStr">
        <is>
          <t>Drive Misty For Me</t>
        </is>
      </c>
      <c r="C5" t="inlineStr">
        <is>
          <t>GTA-5298</t>
        </is>
      </c>
      <c r="D5" t="inlineStr">
        <is>
          <t>Validation</t>
        </is>
      </c>
      <c r="E5" t="inlineStr">
        <is>
          <t>Medium</t>
        </is>
      </c>
      <c r="F5" t="inlineStr"/>
      <c r="G5" t="inlineStr">
        <is>
          <t>Claude Speed</t>
        </is>
      </c>
      <c r="H5" t="inlineStr">
        <is>
          <t>Luigi</t>
        </is>
      </c>
      <c r="I5" s="1" t="n">
        <v>45890.35138888889</v>
      </c>
      <c r="J5" t="n">
        <v>132</v>
      </c>
      <c r="K5" t="inlineStr">
        <is>
          <t xml:space="preserve"> </t>
        </is>
      </c>
      <c r="L5" t="inlineStr">
        <is>
          <t>Portland</t>
        </is>
      </c>
      <c r="M5" s="2">
        <f>HYPERLINK("https://tychesoftware.atlassian.net/browse/GTA-5298", "Go to")</f>
        <v/>
      </c>
    </row>
    <row r="6">
      <c r="A6" t="n">
        <v>5</v>
      </c>
      <c r="B6" t="inlineStr">
        <is>
          <t>Pump-Action Pimp</t>
        </is>
      </c>
      <c r="C6" t="inlineStr">
        <is>
          <t>GTA-0417</t>
        </is>
      </c>
      <c r="D6" t="inlineStr">
        <is>
          <t>To Do</t>
        </is>
      </c>
      <c r="E6" t="inlineStr">
        <is>
          <t>Medium</t>
        </is>
      </c>
      <c r="F6" t="inlineStr"/>
      <c r="G6" t="inlineStr">
        <is>
          <t>Claude Speed</t>
        </is>
      </c>
      <c r="H6" t="inlineStr">
        <is>
          <t>Luigi</t>
        </is>
      </c>
      <c r="I6" s="1" t="n">
        <v>45917.48263888889</v>
      </c>
      <c r="J6" t="n">
        <v>105</v>
      </c>
      <c r="K6" t="inlineStr">
        <is>
          <t xml:space="preserve"> </t>
        </is>
      </c>
      <c r="L6" t="inlineStr">
        <is>
          <t>Portland</t>
        </is>
      </c>
      <c r="M6" s="2">
        <f>HYPERLINK("https://tychesoftware.atlassian.net/browse/GTA-0417", "Go to")</f>
        <v/>
      </c>
    </row>
    <row r="7">
      <c r="A7" t="n">
        <v>6</v>
      </c>
      <c r="B7" t="inlineStr">
        <is>
          <t>Fuzz Ball</t>
        </is>
      </c>
      <c r="C7" t="inlineStr">
        <is>
          <t>GTA-8842</t>
        </is>
      </c>
      <c r="D7" t="inlineStr">
        <is>
          <t>Closed</t>
        </is>
      </c>
      <c r="E7" t="inlineStr">
        <is>
          <t>Medium</t>
        </is>
      </c>
      <c r="F7" t="inlineStr">
        <is>
          <t>Done</t>
        </is>
      </c>
      <c r="G7" t="inlineStr">
        <is>
          <t>Claude Speed</t>
        </is>
      </c>
      <c r="H7" t="inlineStr">
        <is>
          <t>Luigi</t>
        </is>
      </c>
      <c r="I7" s="1" t="n">
        <v>45894.61805555555</v>
      </c>
      <c r="J7" t="n">
        <v>127</v>
      </c>
      <c r="K7" s="1" t="n">
        <v>45949.57986111111</v>
      </c>
      <c r="L7" t="inlineStr">
        <is>
          <t>Portland</t>
        </is>
      </c>
      <c r="M7" s="2">
        <f>HYPERLINK("https://tychesoftware.atlassian.net/browse/GTA-8842", "Go to")</f>
        <v/>
      </c>
    </row>
    <row r="8">
      <c r="A8" t="n">
        <v>7</v>
      </c>
      <c r="B8" t="inlineStr">
        <is>
          <t>Mike Lips Last Lunch</t>
        </is>
      </c>
      <c r="C8" t="inlineStr">
        <is>
          <t>GTA-3169</t>
        </is>
      </c>
      <c r="D8" t="inlineStr">
        <is>
          <t>Validation</t>
        </is>
      </c>
      <c r="E8" t="inlineStr">
        <is>
          <t>Blocker</t>
        </is>
      </c>
      <c r="F8" t="inlineStr"/>
      <c r="G8" t="inlineStr">
        <is>
          <t>Claude Speed</t>
        </is>
      </c>
      <c r="H8" t="inlineStr">
        <is>
          <t>Joey</t>
        </is>
      </c>
      <c r="I8" s="1" t="n">
        <v>45944.04305555556</v>
      </c>
      <c r="J8" t="n">
        <v>78</v>
      </c>
      <c r="K8" t="inlineStr">
        <is>
          <t xml:space="preserve"> </t>
        </is>
      </c>
      <c r="L8" t="inlineStr">
        <is>
          <t>Portland</t>
        </is>
      </c>
      <c r="M8" s="2">
        <f>HYPERLINK("https://tychesoftware.atlassian.net/browse/GTA-3169", "Go to")</f>
        <v/>
      </c>
    </row>
    <row r="9">
      <c r="A9" t="n">
        <v>8</v>
      </c>
      <c r="B9" t="inlineStr">
        <is>
          <t>Farewell 'Chunky' Lee Chong</t>
        </is>
      </c>
      <c r="C9" t="inlineStr">
        <is>
          <t>GTA-9573</t>
        </is>
      </c>
      <c r="D9" t="inlineStr">
        <is>
          <t>In Progress</t>
        </is>
      </c>
      <c r="E9" t="inlineStr">
        <is>
          <t>Medium</t>
        </is>
      </c>
      <c r="F9" t="inlineStr"/>
      <c r="G9" t="inlineStr">
        <is>
          <t>Claude Speed</t>
        </is>
      </c>
      <c r="H9" t="inlineStr">
        <is>
          <t>Joey</t>
        </is>
      </c>
      <c r="I9" s="1" t="n">
        <v>45896.86180555556</v>
      </c>
      <c r="J9" t="n">
        <v>125</v>
      </c>
      <c r="K9" t="inlineStr">
        <is>
          <t xml:space="preserve"> </t>
        </is>
      </c>
      <c r="L9" t="inlineStr">
        <is>
          <t>Portland</t>
        </is>
      </c>
      <c r="M9" s="2">
        <f>HYPERLINK("https://tychesoftware.atlassian.net/browse/GTA-9573", "Go to")</f>
        <v/>
      </c>
    </row>
    <row r="10">
      <c r="A10" t="n">
        <v>9</v>
      </c>
      <c r="B10" t="inlineStr">
        <is>
          <t>Van Heist</t>
        </is>
      </c>
      <c r="C10" t="inlineStr">
        <is>
          <t>GTA-6084</t>
        </is>
      </c>
      <c r="D10" t="inlineStr">
        <is>
          <t>Closed</t>
        </is>
      </c>
      <c r="E10" t="inlineStr">
        <is>
          <t>Medium</t>
        </is>
      </c>
      <c r="F10" t="inlineStr">
        <is>
          <t>Done</t>
        </is>
      </c>
      <c r="G10" t="inlineStr">
        <is>
          <t>Claude Speed</t>
        </is>
      </c>
      <c r="H10" t="inlineStr">
        <is>
          <t>Joey</t>
        </is>
      </c>
      <c r="I10" s="1" t="n">
        <v>45920.80138888889</v>
      </c>
      <c r="J10" t="n">
        <v>101</v>
      </c>
      <c r="K10" s="1" t="n">
        <v>45952.72916666666</v>
      </c>
      <c r="L10" t="inlineStr">
        <is>
          <t>Portland</t>
        </is>
      </c>
      <c r="M10" s="2">
        <f>HYPERLINK("https://tychesoftware.atlassian.net/browse/GTA-6084", "Go to")</f>
        <v/>
      </c>
    </row>
    <row r="11">
      <c r="A11" t="n">
        <v>10</v>
      </c>
      <c r="B11" t="inlineStr">
        <is>
          <t>Cipriani's Chauffeur</t>
        </is>
      </c>
      <c r="C11" t="inlineStr">
        <is>
          <t>GTA-2741</t>
        </is>
      </c>
      <c r="D11" t="inlineStr">
        <is>
          <t>To Do</t>
        </is>
      </c>
      <c r="E11" t="inlineStr">
        <is>
          <t>Blocker</t>
        </is>
      </c>
      <c r="F11" t="inlineStr"/>
      <c r="G11" t="inlineStr">
        <is>
          <t>Claude Speed</t>
        </is>
      </c>
      <c r="H11" t="inlineStr">
        <is>
          <t>Joey</t>
        </is>
      </c>
      <c r="I11" s="1" t="n">
        <v>45869.28263888889</v>
      </c>
      <c r="J11" t="n">
        <v>153</v>
      </c>
      <c r="K11" t="inlineStr">
        <is>
          <t xml:space="preserve"> </t>
        </is>
      </c>
      <c r="L11" t="inlineStr">
        <is>
          <t>Portland</t>
        </is>
      </c>
      <c r="M11" s="2">
        <f>HYPERLINK("https://tychesoftware.atlassian.net/browse/GTA-2741", "Go to")</f>
        <v/>
      </c>
    </row>
    <row r="12">
      <c r="A12" t="n">
        <v>11</v>
      </c>
      <c r="B12" t="inlineStr">
        <is>
          <t>Dead Skunk in the Trunk</t>
        </is>
      </c>
      <c r="C12" t="inlineStr">
        <is>
          <t>GTA-7316</t>
        </is>
      </c>
      <c r="D12" t="inlineStr">
        <is>
          <t>Validation</t>
        </is>
      </c>
      <c r="E12" t="inlineStr">
        <is>
          <t>Medium</t>
        </is>
      </c>
      <c r="F12" t="inlineStr"/>
      <c r="G12" t="inlineStr">
        <is>
          <t>Claude Speed</t>
        </is>
      </c>
      <c r="H12" t="inlineStr">
        <is>
          <t>Joey</t>
        </is>
      </c>
      <c r="I12" s="1" t="n">
        <v>45983.52638888889</v>
      </c>
      <c r="J12" t="n">
        <v>39</v>
      </c>
      <c r="K12" t="inlineStr">
        <is>
          <t xml:space="preserve"> </t>
        </is>
      </c>
      <c r="L12" t="inlineStr">
        <is>
          <t>Portland</t>
        </is>
      </c>
      <c r="M12" s="2">
        <f>HYPERLINK("https://tychesoftware.atlassian.net/browse/GTA-7316", "Go to")</f>
        <v/>
      </c>
    </row>
    <row r="13">
      <c r="A13" t="n">
        <v>12</v>
      </c>
      <c r="B13" t="inlineStr">
        <is>
          <t>The Getaway</t>
        </is>
      </c>
      <c r="C13" t="inlineStr">
        <is>
          <t>GTA-1986</t>
        </is>
      </c>
      <c r="D13" t="inlineStr">
        <is>
          <t>Closed</t>
        </is>
      </c>
      <c r="E13" t="inlineStr">
        <is>
          <t>High</t>
        </is>
      </c>
      <c r="F13" t="inlineStr">
        <is>
          <t>Done</t>
        </is>
      </c>
      <c r="G13" t="inlineStr">
        <is>
          <t>Claude Speed</t>
        </is>
      </c>
      <c r="H13" t="inlineStr">
        <is>
          <t>Joey</t>
        </is>
      </c>
      <c r="I13" s="1" t="n">
        <v>45899.64027777778</v>
      </c>
      <c r="J13" t="n">
        <v>122</v>
      </c>
      <c r="K13" s="1" t="n">
        <v>45955.93611111111</v>
      </c>
      <c r="L13" t="inlineStr">
        <is>
          <t>Portland</t>
        </is>
      </c>
      <c r="M13" s="2">
        <f>HYPERLINK("https://tychesoftware.atlassian.net/browse/GTA-1986", "Go to")</f>
        <v/>
      </c>
    </row>
    <row r="14">
      <c r="A14" t="n">
        <v>13</v>
      </c>
      <c r="B14" t="inlineStr">
        <is>
          <t>Taking Out the Laundry</t>
        </is>
      </c>
      <c r="C14" t="inlineStr">
        <is>
          <t>GTA-8450</t>
        </is>
      </c>
      <c r="D14" t="inlineStr">
        <is>
          <t>To Do</t>
        </is>
      </c>
      <c r="E14" t="inlineStr">
        <is>
          <t>Medium</t>
        </is>
      </c>
      <c r="F14" t="inlineStr"/>
      <c r="G14" t="inlineStr">
        <is>
          <t>Claude Speed</t>
        </is>
      </c>
      <c r="H14" t="inlineStr">
        <is>
          <t>Toni</t>
        </is>
      </c>
      <c r="I14" s="1" t="n">
        <v>45958.20555555556</v>
      </c>
      <c r="J14" t="n">
        <v>64</v>
      </c>
      <c r="K14" t="inlineStr">
        <is>
          <t xml:space="preserve"> </t>
        </is>
      </c>
      <c r="L14" t="inlineStr">
        <is>
          <t>Portland</t>
        </is>
      </c>
      <c r="M14" s="2">
        <f>HYPERLINK("https://tychesoftware.atlassian.net/browse/GTA-8450", "Go to")</f>
        <v/>
      </c>
    </row>
    <row r="15">
      <c r="A15" t="n">
        <v>14</v>
      </c>
      <c r="B15" t="inlineStr">
        <is>
          <t>The Pick-Up</t>
        </is>
      </c>
      <c r="C15" t="inlineStr">
        <is>
          <t>GTA-0629</t>
        </is>
      </c>
      <c r="D15" t="inlineStr">
        <is>
          <t>In Progress</t>
        </is>
      </c>
      <c r="E15" t="inlineStr">
        <is>
          <t>Blocker</t>
        </is>
      </c>
      <c r="F15" t="inlineStr"/>
      <c r="G15" t="inlineStr">
        <is>
          <t>Claude Speed</t>
        </is>
      </c>
      <c r="H15" t="inlineStr">
        <is>
          <t>Toni</t>
        </is>
      </c>
      <c r="I15" s="1" t="n">
        <v>45941.89583333334</v>
      </c>
      <c r="J15" t="n">
        <v>80</v>
      </c>
      <c r="K15" t="inlineStr">
        <is>
          <t xml:space="preserve"> </t>
        </is>
      </c>
      <c r="L15" t="inlineStr">
        <is>
          <t>Portland</t>
        </is>
      </c>
      <c r="M15" s="2">
        <f>HYPERLINK("https://tychesoftware.atlassian.net/browse/GTA-0629", "Go to")</f>
        <v/>
      </c>
    </row>
    <row r="16">
      <c r="A16" t="n">
        <v>15</v>
      </c>
      <c r="B16" t="inlineStr">
        <is>
          <t>Salvatore's Called a Meeting</t>
        </is>
      </c>
      <c r="C16" t="inlineStr">
        <is>
          <t>GTA-5907</t>
        </is>
      </c>
      <c r="D16" t="inlineStr">
        <is>
          <t>Closed</t>
        </is>
      </c>
      <c r="E16" t="inlineStr">
        <is>
          <t>Blocker</t>
        </is>
      </c>
      <c r="F16" t="inlineStr">
        <is>
          <t>Done</t>
        </is>
      </c>
      <c r="G16" t="inlineStr">
        <is>
          <t>Claude Speed</t>
        </is>
      </c>
      <c r="H16" t="inlineStr">
        <is>
          <t>Toni</t>
        </is>
      </c>
      <c r="I16" s="1" t="n">
        <v>45903.22152777778</v>
      </c>
      <c r="J16" t="n">
        <v>119</v>
      </c>
      <c r="K16" s="1" t="n">
        <v>45958.99930555555</v>
      </c>
      <c r="L16" t="inlineStr">
        <is>
          <t>Portland</t>
        </is>
      </c>
      <c r="M16" s="2">
        <f>HYPERLINK("https://tychesoftware.atlassian.net/browse/GTA-5907", "Go to")</f>
        <v/>
      </c>
    </row>
    <row r="17">
      <c r="A17" t="n">
        <v>16</v>
      </c>
      <c r="B17" t="inlineStr">
        <is>
          <t>Chaperone</t>
        </is>
      </c>
      <c r="C17" t="inlineStr">
        <is>
          <t>GTA-4218</t>
        </is>
      </c>
      <c r="D17" t="inlineStr">
        <is>
          <t>To Do</t>
        </is>
      </c>
      <c r="E17" t="inlineStr">
        <is>
          <t>Blocker</t>
        </is>
      </c>
      <c r="F17" t="inlineStr"/>
      <c r="G17" t="inlineStr">
        <is>
          <t>Claude Speed</t>
        </is>
      </c>
      <c r="H17" t="inlineStr">
        <is>
          <t>Salvatore</t>
        </is>
      </c>
      <c r="I17" s="1" t="n">
        <v>45925.57430555556</v>
      </c>
      <c r="J17" t="n">
        <v>97</v>
      </c>
      <c r="K17" t="inlineStr">
        <is>
          <t xml:space="preserve"> </t>
        </is>
      </c>
      <c r="L17" t="inlineStr">
        <is>
          <t>Portland</t>
        </is>
      </c>
      <c r="M17" s="2">
        <f>HYPERLINK("https://tychesoftware.atlassian.net/browse/GTA-4218", "Go to")</f>
        <v/>
      </c>
    </row>
    <row r="18">
      <c r="A18" t="n">
        <v>17</v>
      </c>
      <c r="B18" t="inlineStr">
        <is>
          <t>Cutting the Grass</t>
        </is>
      </c>
      <c r="C18" t="inlineStr">
        <is>
          <t>GTA-9372</t>
        </is>
      </c>
      <c r="D18" t="inlineStr">
        <is>
          <t>Validation</t>
        </is>
      </c>
      <c r="E18" t="inlineStr">
        <is>
          <t>High</t>
        </is>
      </c>
      <c r="F18" t="inlineStr"/>
      <c r="G18" t="inlineStr">
        <is>
          <t>Claude Speed</t>
        </is>
      </c>
      <c r="H18" t="inlineStr">
        <is>
          <t>Salvatore</t>
        </is>
      </c>
      <c r="I18" s="1" t="n">
        <v>45866.33819444444</v>
      </c>
      <c r="J18" t="n">
        <v>156</v>
      </c>
      <c r="K18" t="inlineStr">
        <is>
          <t xml:space="preserve"> </t>
        </is>
      </c>
      <c r="L18" t="inlineStr">
        <is>
          <t>Portland</t>
        </is>
      </c>
      <c r="M18" s="2">
        <f>HYPERLINK("https://tychesoftware.atlassian.net/browse/GTA-9372", "Go to")</f>
        <v/>
      </c>
    </row>
    <row r="19">
      <c r="A19" t="n">
        <v>18</v>
      </c>
      <c r="B19" t="inlineStr">
        <is>
          <t>Bomb Da Base: Act I</t>
        </is>
      </c>
      <c r="C19" t="inlineStr">
        <is>
          <t>GTA-1540</t>
        </is>
      </c>
      <c r="D19" t="inlineStr">
        <is>
          <t>In Progress</t>
        </is>
      </c>
      <c r="E19" t="inlineStr">
        <is>
          <t>High</t>
        </is>
      </c>
      <c r="F19" t="inlineStr"/>
      <c r="G19" t="inlineStr">
        <is>
          <t>Claude Speed</t>
        </is>
      </c>
      <c r="H19" t="inlineStr">
        <is>
          <t>8 Ball</t>
        </is>
      </c>
      <c r="I19" s="1" t="n">
        <v>45932.96875</v>
      </c>
      <c r="J19" t="n">
        <v>89</v>
      </c>
      <c r="K19" t="inlineStr">
        <is>
          <t xml:space="preserve"> </t>
        </is>
      </c>
      <c r="L19" t="inlineStr">
        <is>
          <t>Portland</t>
        </is>
      </c>
      <c r="M19" s="2">
        <f>HYPERLINK("https://tychesoftware.atlassian.net/browse/GTA-1540", "Go to")</f>
        <v/>
      </c>
    </row>
    <row r="20">
      <c r="A20" t="n">
        <v>19</v>
      </c>
      <c r="B20" t="inlineStr">
        <is>
          <t>Bomb Da Base: Act II</t>
        </is>
      </c>
      <c r="C20" t="inlineStr">
        <is>
          <t>GTA-7689</t>
        </is>
      </c>
      <c r="D20" t="inlineStr">
        <is>
          <t>Validation</t>
        </is>
      </c>
      <c r="E20" t="inlineStr">
        <is>
          <t>High</t>
        </is>
      </c>
      <c r="F20" t="inlineStr"/>
      <c r="G20" t="inlineStr">
        <is>
          <t>Claude Speed</t>
        </is>
      </c>
      <c r="H20" t="inlineStr">
        <is>
          <t>8 Ball</t>
        </is>
      </c>
      <c r="I20" s="1" t="n">
        <v>45892.14513888889</v>
      </c>
      <c r="J20" t="n">
        <v>130</v>
      </c>
      <c r="K20" t="inlineStr">
        <is>
          <t xml:space="preserve"> </t>
        </is>
      </c>
      <c r="L20" t="inlineStr">
        <is>
          <t>Portland</t>
        </is>
      </c>
      <c r="M20" s="2">
        <f>HYPERLINK("https://tychesoftware.atlassian.net/browse/GTA-7689", "Go to")</f>
        <v/>
      </c>
    </row>
    <row r="21">
      <c r="A21" t="n">
        <v>20</v>
      </c>
      <c r="B21" t="inlineStr">
        <is>
          <t>Last Requests</t>
        </is>
      </c>
      <c r="C21" t="inlineStr">
        <is>
          <t>GTA-3095</t>
        </is>
      </c>
      <c r="D21" t="inlineStr">
        <is>
          <t>To Do</t>
        </is>
      </c>
      <c r="E21" t="inlineStr">
        <is>
          <t>High</t>
        </is>
      </c>
      <c r="F21" t="inlineStr"/>
      <c r="G21" t="inlineStr">
        <is>
          <t>Claude Speed</t>
        </is>
      </c>
      <c r="H21" t="inlineStr">
        <is>
          <t>Salvatore</t>
        </is>
      </c>
      <c r="I21" s="1" t="n">
        <v>45874.60763888889</v>
      </c>
      <c r="J21" t="n">
        <v>147</v>
      </c>
      <c r="K21" t="inlineStr">
        <is>
          <t xml:space="preserve"> </t>
        </is>
      </c>
      <c r="L21" t="inlineStr">
        <is>
          <t>Portland</t>
        </is>
      </c>
      <c r="M21" s="2">
        <f>HYPERLINK("https://tychesoftware.atlassian.net/browse/GTA-3095", "Go to")</f>
        <v/>
      </c>
    </row>
    <row r="22">
      <c r="A22" t="n">
        <v>21</v>
      </c>
      <c r="B22" t="inlineStr">
        <is>
          <t>Sayonara Salvatore</t>
        </is>
      </c>
      <c r="C22" t="inlineStr">
        <is>
          <t>GTA-6841</t>
        </is>
      </c>
      <c r="D22" t="inlineStr">
        <is>
          <t>Closed</t>
        </is>
      </c>
      <c r="E22" t="inlineStr">
        <is>
          <t>Medium</t>
        </is>
      </c>
      <c r="F22" t="inlineStr">
        <is>
          <t>Done</t>
        </is>
      </c>
      <c r="G22" t="inlineStr">
        <is>
          <t>Claude Speed</t>
        </is>
      </c>
      <c r="H22" t="inlineStr">
        <is>
          <t>Asuka</t>
        </is>
      </c>
      <c r="I22" s="1" t="n">
        <v>45901.32152777778</v>
      </c>
      <c r="J22" t="n">
        <v>121</v>
      </c>
      <c r="K22" s="1" t="n">
        <v>45964.99930555555</v>
      </c>
      <c r="L22" t="inlineStr">
        <is>
          <t>Portland</t>
        </is>
      </c>
      <c r="M22" s="2">
        <f>HYPERLINK("https://tychesoftware.atlassian.net/browse/GTA-6841",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0FF00"/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115</v>
      </c>
      <c r="B2" t="inlineStr">
        <is>
          <t>Wear Flowers in Your Hair</t>
        </is>
      </c>
      <c r="C2" t="inlineStr">
        <is>
          <t>GTA-2719</t>
        </is>
      </c>
      <c r="D2" t="inlineStr">
        <is>
          <t>To Do</t>
        </is>
      </c>
      <c r="E2" t="inlineStr">
        <is>
          <t>Blocker</t>
        </is>
      </c>
      <c r="F2" t="inlineStr"/>
      <c r="G2" t="inlineStr">
        <is>
          <t>Carl Johnson</t>
        </is>
      </c>
      <c r="H2" t="inlineStr">
        <is>
          <t>Truth</t>
        </is>
      </c>
      <c r="I2" s="1" t="n">
        <v>45942.82638888889</v>
      </c>
      <c r="J2" t="n">
        <v>79</v>
      </c>
      <c r="K2" t="inlineStr">
        <is>
          <t xml:space="preserve"> </t>
        </is>
      </c>
      <c r="L2" t="inlineStr">
        <is>
          <t>San Fierro</t>
        </is>
      </c>
      <c r="M2" s="2">
        <f>HYPERLINK("https://tychesoftware.atlassian.net/browse/GTA-2719", "Go to")</f>
        <v/>
      </c>
    </row>
    <row r="3">
      <c r="A3" t="n">
        <v>116</v>
      </c>
      <c r="B3" t="inlineStr">
        <is>
          <t>555 We Tip</t>
        </is>
      </c>
      <c r="C3" t="inlineStr">
        <is>
          <t>GTA-6845</t>
        </is>
      </c>
      <c r="D3" t="inlineStr">
        <is>
          <t>Closed</t>
        </is>
      </c>
      <c r="E3" t="inlineStr">
        <is>
          <t>High</t>
        </is>
      </c>
      <c r="F3" t="inlineStr">
        <is>
          <t>Done</t>
        </is>
      </c>
      <c r="G3" t="inlineStr">
        <is>
          <t>Carl Johnson</t>
        </is>
      </c>
      <c r="H3" t="inlineStr">
        <is>
          <t>CRASH</t>
        </is>
      </c>
      <c r="I3" s="1" t="n">
        <v>45848.04027777778</v>
      </c>
      <c r="J3" t="n">
        <v>174</v>
      </c>
      <c r="K3" s="1" t="n">
        <v>45959.99930555555</v>
      </c>
      <c r="L3" t="inlineStr">
        <is>
          <t>San Fierro</t>
        </is>
      </c>
      <c r="M3" s="2">
        <f>HYPERLINK("https://tychesoftware.atlassian.net/browse/GTA-6845", "Go to")</f>
        <v/>
      </c>
    </row>
    <row r="4">
      <c r="A4" t="n">
        <v>117</v>
      </c>
      <c r="B4" t="inlineStr">
        <is>
          <t>Deconstruction</t>
        </is>
      </c>
      <c r="C4" t="inlineStr">
        <is>
          <t>GTA-0178</t>
        </is>
      </c>
      <c r="D4" t="inlineStr">
        <is>
          <t>In Progress</t>
        </is>
      </c>
      <c r="E4" t="inlineStr">
        <is>
          <t>Blocker</t>
        </is>
      </c>
      <c r="F4" t="inlineStr"/>
      <c r="G4" t="inlineStr">
        <is>
          <t>Carl Johnson</t>
        </is>
      </c>
      <c r="H4" t="inlineStr">
        <is>
          <t>Carl</t>
        </is>
      </c>
      <c r="I4" s="1" t="n">
        <v>45849.92569444444</v>
      </c>
      <c r="J4" t="n">
        <v>172</v>
      </c>
      <c r="K4" t="inlineStr">
        <is>
          <t xml:space="preserve"> </t>
        </is>
      </c>
      <c r="L4" t="inlineStr">
        <is>
          <t>San Fierro</t>
        </is>
      </c>
      <c r="M4" s="2">
        <f>HYPERLINK("https://tychesoftware.atlassian.net/browse/GTA-0178", "Go to")</f>
        <v/>
      </c>
    </row>
    <row r="5">
      <c r="A5" t="n">
        <v>118</v>
      </c>
      <c r="B5" t="inlineStr">
        <is>
          <t>Photo Opportunity</t>
        </is>
      </c>
      <c r="C5" t="inlineStr">
        <is>
          <t>GTA-9624</t>
        </is>
      </c>
      <c r="D5" t="inlineStr">
        <is>
          <t>Validation</t>
        </is>
      </c>
      <c r="E5" t="inlineStr">
        <is>
          <t>Medium</t>
        </is>
      </c>
      <c r="F5" t="inlineStr"/>
      <c r="G5" t="inlineStr">
        <is>
          <t>Carl Johnson</t>
        </is>
      </c>
      <c r="H5" t="inlineStr">
        <is>
          <t>Cesar</t>
        </is>
      </c>
      <c r="I5" s="1" t="n">
        <v>45849.92569444444</v>
      </c>
      <c r="J5" t="n">
        <v>172</v>
      </c>
      <c r="K5" t="inlineStr">
        <is>
          <t xml:space="preserve"> </t>
        </is>
      </c>
      <c r="L5" t="inlineStr">
        <is>
          <t>San Fierro</t>
        </is>
      </c>
      <c r="M5" s="2">
        <f>HYPERLINK("https://tychesoftware.atlassian.net/browse/GTA-9624", "Go to")</f>
        <v/>
      </c>
    </row>
    <row r="6">
      <c r="A6" t="n">
        <v>119</v>
      </c>
      <c r="B6" t="inlineStr">
        <is>
          <t>Jizzy</t>
        </is>
      </c>
      <c r="C6" t="inlineStr">
        <is>
          <t>GTA-4093</t>
        </is>
      </c>
      <c r="D6" t="inlineStr">
        <is>
          <t>To Do</t>
        </is>
      </c>
      <c r="E6" t="inlineStr">
        <is>
          <t>High</t>
        </is>
      </c>
      <c r="F6" t="inlineStr"/>
      <c r="G6" t="inlineStr">
        <is>
          <t>Carl Johnson</t>
        </is>
      </c>
      <c r="H6" t="inlineStr">
        <is>
          <t>Jizzy</t>
        </is>
      </c>
      <c r="I6" s="1" t="n">
        <v>45862.41458333333</v>
      </c>
      <c r="J6" t="n">
        <v>160</v>
      </c>
      <c r="K6" t="inlineStr">
        <is>
          <t xml:space="preserve"> </t>
        </is>
      </c>
      <c r="L6" t="inlineStr">
        <is>
          <t>San Fierro</t>
        </is>
      </c>
      <c r="M6" s="2">
        <f>HYPERLINK("https://tychesoftware.atlassian.net/browse/GTA-4093", "Go to")</f>
        <v/>
      </c>
    </row>
    <row r="7">
      <c r="A7" t="n">
        <v>120</v>
      </c>
      <c r="B7" t="inlineStr">
        <is>
          <t>Outrider</t>
        </is>
      </c>
      <c r="C7" t="inlineStr">
        <is>
          <t>GTA-7516</t>
        </is>
      </c>
      <c r="D7" t="inlineStr">
        <is>
          <t>Closed</t>
        </is>
      </c>
      <c r="E7" t="inlineStr">
        <is>
          <t>High</t>
        </is>
      </c>
      <c r="F7" t="inlineStr">
        <is>
          <t>Done</t>
        </is>
      </c>
      <c r="G7" t="inlineStr">
        <is>
          <t>Carl Johnson</t>
        </is>
      </c>
      <c r="H7" t="inlineStr">
        <is>
          <t>Jizzy</t>
        </is>
      </c>
      <c r="I7" s="1" t="n">
        <v>45873.69722222222</v>
      </c>
      <c r="J7" t="n">
        <v>148</v>
      </c>
      <c r="K7" s="1" t="n">
        <v>45963.99930555555</v>
      </c>
      <c r="L7" t="inlineStr">
        <is>
          <t>San Fierro</t>
        </is>
      </c>
      <c r="M7" s="2">
        <f>HYPERLINK("https://tychesoftware.atlassian.net/browse/GTA-7516", "Go to")</f>
        <v/>
      </c>
    </row>
    <row r="8">
      <c r="A8" t="n">
        <v>121</v>
      </c>
      <c r="B8" t="inlineStr">
        <is>
          <t>Snail Trail</t>
        </is>
      </c>
      <c r="C8" t="inlineStr">
        <is>
          <t>GTA-3268</t>
        </is>
      </c>
      <c r="D8" t="inlineStr">
        <is>
          <t>In Progress</t>
        </is>
      </c>
      <c r="E8" t="inlineStr">
        <is>
          <t>Medium</t>
        </is>
      </c>
      <c r="F8" t="inlineStr"/>
      <c r="G8" t="inlineStr">
        <is>
          <t>Carl Johnson</t>
        </is>
      </c>
      <c r="H8" t="inlineStr">
        <is>
          <t>CRASH</t>
        </is>
      </c>
      <c r="I8" s="1" t="n">
        <v>45890.35138888889</v>
      </c>
      <c r="J8" t="n">
        <v>132</v>
      </c>
      <c r="K8" t="inlineStr">
        <is>
          <t xml:space="preserve"> </t>
        </is>
      </c>
      <c r="L8" t="inlineStr">
        <is>
          <t>San Fierro</t>
        </is>
      </c>
      <c r="M8" s="2">
        <f>HYPERLINK("https://tychesoftware.atlassian.net/browse/GTA-3268", "Go to")</f>
        <v/>
      </c>
    </row>
    <row r="9">
      <c r="A9" t="n">
        <v>122</v>
      </c>
      <c r="B9" t="inlineStr">
        <is>
          <t>Ice Cold Killa</t>
        </is>
      </c>
      <c r="C9" t="inlineStr">
        <is>
          <t>GTA-5902</t>
        </is>
      </c>
      <c r="D9" t="inlineStr">
        <is>
          <t>Validation</t>
        </is>
      </c>
      <c r="E9" t="inlineStr">
        <is>
          <t>High</t>
        </is>
      </c>
      <c r="F9" t="inlineStr"/>
      <c r="G9" t="inlineStr">
        <is>
          <t>Carl Johnson</t>
        </is>
      </c>
      <c r="H9" t="inlineStr">
        <is>
          <t>Cesar</t>
        </is>
      </c>
      <c r="I9" s="1" t="n">
        <v>45917.48263888889</v>
      </c>
      <c r="J9" t="n">
        <v>105</v>
      </c>
      <c r="K9" t="inlineStr">
        <is>
          <t xml:space="preserve"> </t>
        </is>
      </c>
      <c r="L9" t="inlineStr">
        <is>
          <t>San Fierro</t>
        </is>
      </c>
      <c r="M9" s="2">
        <f>HYPERLINK("https://tychesoftware.atlassian.net/browse/GTA-5902", "Go to")</f>
        <v/>
      </c>
    </row>
    <row r="10">
      <c r="A10" t="n">
        <v>123</v>
      </c>
      <c r="B10" t="inlineStr">
        <is>
          <t>Pier 69</t>
        </is>
      </c>
      <c r="C10" t="inlineStr">
        <is>
          <t>GTA-1487</t>
        </is>
      </c>
      <c r="D10" t="inlineStr">
        <is>
          <t>Closed</t>
        </is>
      </c>
      <c r="E10" t="inlineStr">
        <is>
          <t>Medium</t>
        </is>
      </c>
      <c r="F10" t="inlineStr">
        <is>
          <t>Done</t>
        </is>
      </c>
      <c r="G10" t="inlineStr">
        <is>
          <t>Carl Johnson</t>
        </is>
      </c>
      <c r="H10" t="inlineStr">
        <is>
          <t>Cesar</t>
        </is>
      </c>
      <c r="I10" s="1" t="n">
        <v>45894.61805555555</v>
      </c>
      <c r="J10" t="n">
        <v>127</v>
      </c>
      <c r="K10" s="1" t="n">
        <v>45966.99930555555</v>
      </c>
      <c r="L10" t="inlineStr">
        <is>
          <t>San Fierro</t>
        </is>
      </c>
      <c r="M10" s="2">
        <f>HYPERLINK("https://tychesoftware.atlassian.net/browse/GTA-1487", "Go to")</f>
        <v/>
      </c>
    </row>
    <row r="11">
      <c r="A11" t="n">
        <v>124</v>
      </c>
      <c r="B11" t="inlineStr">
        <is>
          <t>Toreno's Last Flight</t>
        </is>
      </c>
      <c r="C11" t="inlineStr">
        <is>
          <t>GTA-8376</t>
        </is>
      </c>
      <c r="D11" t="inlineStr">
        <is>
          <t>To Do</t>
        </is>
      </c>
      <c r="E11" t="inlineStr">
        <is>
          <t>Blocker</t>
        </is>
      </c>
      <c r="F11" t="inlineStr"/>
      <c r="G11" t="inlineStr">
        <is>
          <t>Carl Johnson</t>
        </is>
      </c>
      <c r="H11" t="inlineStr">
        <is>
          <t>Woozie</t>
        </is>
      </c>
      <c r="I11" s="1" t="n">
        <v>45944.04305555556</v>
      </c>
      <c r="J11" t="n">
        <v>78</v>
      </c>
      <c r="K11" t="inlineStr">
        <is>
          <t xml:space="preserve"> </t>
        </is>
      </c>
      <c r="L11" t="inlineStr">
        <is>
          <t>San Fierro</t>
        </is>
      </c>
      <c r="M11" s="2">
        <f>HYPERLINK("https://tychesoftware.atlassian.net/browse/GTA-8376", "Go to")</f>
        <v/>
      </c>
    </row>
    <row r="12">
      <c r="A12" t="n">
        <v>125</v>
      </c>
      <c r="B12" t="inlineStr">
        <is>
          <t>Mountain Cloud Boys</t>
        </is>
      </c>
      <c r="C12" t="inlineStr">
        <is>
          <t>GTA-4625</t>
        </is>
      </c>
      <c r="D12" t="inlineStr">
        <is>
          <t>In Progress</t>
        </is>
      </c>
      <c r="E12" t="inlineStr">
        <is>
          <t>High</t>
        </is>
      </c>
      <c r="F12" t="inlineStr"/>
      <c r="G12" t="inlineStr">
        <is>
          <t>Carl Johnson</t>
        </is>
      </c>
      <c r="H12" t="inlineStr">
        <is>
          <t>Woozie</t>
        </is>
      </c>
      <c r="I12" s="1" t="n">
        <v>45896.86180555556</v>
      </c>
      <c r="J12" t="n">
        <v>125</v>
      </c>
      <c r="K12" t="inlineStr">
        <is>
          <t xml:space="preserve"> </t>
        </is>
      </c>
      <c r="L12" t="inlineStr">
        <is>
          <t>San Fierro</t>
        </is>
      </c>
      <c r="M12" s="2">
        <f>HYPERLINK("https://tychesoftware.atlassian.net/browse/GTA-4625", "Go to")</f>
        <v/>
      </c>
    </row>
    <row r="13">
      <c r="A13" t="n">
        <v>126</v>
      </c>
      <c r="B13" t="inlineStr">
        <is>
          <t>Ran Fa Li</t>
        </is>
      </c>
      <c r="C13" t="inlineStr">
        <is>
          <t>GTA-7091</t>
        </is>
      </c>
      <c r="D13" t="inlineStr">
        <is>
          <t>Closed</t>
        </is>
      </c>
      <c r="E13" t="inlineStr">
        <is>
          <t>High</t>
        </is>
      </c>
      <c r="F13" t="inlineStr">
        <is>
          <t>Done</t>
        </is>
      </c>
      <c r="G13" t="inlineStr">
        <is>
          <t>Carl Johnson</t>
        </is>
      </c>
      <c r="H13" t="inlineStr">
        <is>
          <t>Woozie</t>
        </is>
      </c>
      <c r="I13" s="1" t="n">
        <v>45920.80138888889</v>
      </c>
      <c r="J13" t="n">
        <v>101</v>
      </c>
      <c r="K13" s="1" t="n">
        <v>45969.99930555555</v>
      </c>
      <c r="L13" t="inlineStr">
        <is>
          <t>San Fierro</t>
        </is>
      </c>
      <c r="M13" s="2">
        <f>HYPERLINK("https://tychesoftware.atlassian.net/browse/GTA-7091", "Go to")</f>
        <v/>
      </c>
    </row>
    <row r="14">
      <c r="A14" t="n">
        <v>127</v>
      </c>
      <c r="B14" t="inlineStr">
        <is>
          <t>Lure</t>
        </is>
      </c>
      <c r="C14" t="inlineStr">
        <is>
          <t>GTA-2846</t>
        </is>
      </c>
      <c r="D14" t="inlineStr">
        <is>
          <t>Validation</t>
        </is>
      </c>
      <c r="E14" t="inlineStr">
        <is>
          <t>High</t>
        </is>
      </c>
      <c r="F14" t="inlineStr"/>
      <c r="G14" t="inlineStr">
        <is>
          <t>Carl Johnson</t>
        </is>
      </c>
      <c r="H14" t="inlineStr">
        <is>
          <t>Woozie</t>
        </is>
      </c>
      <c r="I14" s="1" t="n">
        <v>45869.28263888889</v>
      </c>
      <c r="J14" t="n">
        <v>153</v>
      </c>
      <c r="K14" t="inlineStr">
        <is>
          <t xml:space="preserve"> </t>
        </is>
      </c>
      <c r="L14" t="inlineStr">
        <is>
          <t>San Fierro</t>
        </is>
      </c>
      <c r="M14" s="2">
        <f>HYPERLINK("https://tychesoftware.atlassian.net/browse/GTA-2846", "Go to")</f>
        <v/>
      </c>
    </row>
    <row r="15">
      <c r="A15" t="n">
        <v>128</v>
      </c>
      <c r="B15" t="inlineStr">
        <is>
          <t>Amphibious Assault</t>
        </is>
      </c>
      <c r="C15" t="inlineStr">
        <is>
          <t>GTA-6318</t>
        </is>
      </c>
      <c r="D15" t="inlineStr">
        <is>
          <t>To Do</t>
        </is>
      </c>
      <c r="E15" t="inlineStr">
        <is>
          <t>Medium</t>
        </is>
      </c>
      <c r="F15" t="inlineStr"/>
      <c r="G15" t="inlineStr">
        <is>
          <t>Carl Johnson</t>
        </is>
      </c>
      <c r="H15" t="inlineStr">
        <is>
          <t>Woozie</t>
        </is>
      </c>
      <c r="I15" s="1" t="n">
        <v>45983.52638888889</v>
      </c>
      <c r="J15" t="n">
        <v>39</v>
      </c>
      <c r="K15" t="inlineStr">
        <is>
          <t xml:space="preserve"> </t>
        </is>
      </c>
      <c r="L15" t="inlineStr">
        <is>
          <t>San Fierro</t>
        </is>
      </c>
      <c r="M15" s="2">
        <f>HYPERLINK("https://tychesoftware.atlassian.net/browse/GTA-6318", "Go to")</f>
        <v/>
      </c>
    </row>
    <row r="16">
      <c r="A16" t="n">
        <v>129</v>
      </c>
      <c r="B16" t="inlineStr">
        <is>
          <t>The Da Nang Thang</t>
        </is>
      </c>
      <c r="C16" t="inlineStr">
        <is>
          <t>GTA-0957</t>
        </is>
      </c>
      <c r="D16" t="inlineStr">
        <is>
          <t>Closed</t>
        </is>
      </c>
      <c r="E16" t="inlineStr">
        <is>
          <t>Blocker</t>
        </is>
      </c>
      <c r="F16" t="inlineStr">
        <is>
          <t>Done</t>
        </is>
      </c>
      <c r="G16" t="inlineStr">
        <is>
          <t>Carl Johnson</t>
        </is>
      </c>
      <c r="H16" t="inlineStr">
        <is>
          <t>Woozie</t>
        </is>
      </c>
      <c r="I16" s="1" t="n">
        <v>45899.64027777778</v>
      </c>
      <c r="J16" t="n">
        <v>122</v>
      </c>
      <c r="K16" s="1" t="n">
        <v>45972.99930555555</v>
      </c>
      <c r="L16" t="inlineStr">
        <is>
          <t>San Fierro</t>
        </is>
      </c>
      <c r="M16" s="2">
        <f>HYPERLINK("https://tychesoftware.atlassian.net/browse/GTA-0957", "Go to")</f>
        <v/>
      </c>
    </row>
    <row r="17">
      <c r="A17" t="n">
        <v>130</v>
      </c>
      <c r="B17" t="inlineStr">
        <is>
          <t>Yay Ka-Boom-Boom</t>
        </is>
      </c>
      <c r="C17" t="inlineStr">
        <is>
          <t>GTA-8740</t>
        </is>
      </c>
      <c r="D17" t="inlineStr">
        <is>
          <t>In Progress</t>
        </is>
      </c>
      <c r="E17" t="inlineStr">
        <is>
          <t>Blocker</t>
        </is>
      </c>
      <c r="F17" t="inlineStr"/>
      <c r="G17" t="inlineStr">
        <is>
          <t>Carl Johnson</t>
        </is>
      </c>
      <c r="H17" t="inlineStr">
        <is>
          <t>Woozie</t>
        </is>
      </c>
      <c r="I17" s="1" t="n">
        <v>45958.20555555556</v>
      </c>
      <c r="J17" t="n">
        <v>64</v>
      </c>
      <c r="K17" t="inlineStr">
        <is>
          <t xml:space="preserve"> </t>
        </is>
      </c>
      <c r="L17" t="inlineStr">
        <is>
          <t>San Fierro</t>
        </is>
      </c>
      <c r="M17" s="2">
        <f>HYPERLINK("https://tychesoftware.atlassian.net/browse/GTA-8740", "Go to")</f>
        <v/>
      </c>
    </row>
    <row r="18">
      <c r="A18" t="n">
        <v>133</v>
      </c>
      <c r="B18" t="inlineStr">
        <is>
          <t>Mike Toreno</t>
        </is>
      </c>
      <c r="C18" t="inlineStr">
        <is>
          <t>GTA-9681</t>
        </is>
      </c>
      <c r="D18" t="inlineStr">
        <is>
          <t>Closed</t>
        </is>
      </c>
      <c r="E18" t="inlineStr">
        <is>
          <t>Blocker</t>
        </is>
      </c>
      <c r="F18" t="inlineStr">
        <is>
          <t>Done</t>
        </is>
      </c>
      <c r="G18" t="inlineStr">
        <is>
          <t>Carl Johnson</t>
        </is>
      </c>
      <c r="H18" t="inlineStr">
        <is>
          <t>Jizzy</t>
        </is>
      </c>
      <c r="I18" s="1" t="n">
        <v>45925.57430555556</v>
      </c>
      <c r="J18" t="n">
        <v>97</v>
      </c>
      <c r="K18" s="1" t="n">
        <v>45976.99930555555</v>
      </c>
      <c r="L18" t="inlineStr">
        <is>
          <t>San Fierro</t>
        </is>
      </c>
      <c r="M18" s="2">
        <f>HYPERLINK("https://tychesoftware.atlassian.net/browse/GTA-9681",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FF00"/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47</v>
      </c>
      <c r="B2" t="inlineStr">
        <is>
          <t>Rumble</t>
        </is>
      </c>
      <c r="C2" t="inlineStr">
        <is>
          <t>GTA-6352</t>
        </is>
      </c>
      <c r="D2" t="inlineStr">
        <is>
          <t>Closed</t>
        </is>
      </c>
      <c r="E2" t="inlineStr">
        <is>
          <t>High</t>
        </is>
      </c>
      <c r="F2" t="inlineStr">
        <is>
          <t>Done</t>
        </is>
      </c>
      <c r="G2" t="inlineStr">
        <is>
          <t>Claude Speed</t>
        </is>
      </c>
      <c r="H2" t="inlineStr">
        <is>
          <t>Ice</t>
        </is>
      </c>
      <c r="I2" s="1" t="n">
        <v>45859.08194444444</v>
      </c>
      <c r="J2" t="n">
        <v>163</v>
      </c>
      <c r="K2" s="1" t="n">
        <v>45890.99930555555</v>
      </c>
      <c r="L2" t="inlineStr">
        <is>
          <t>Shoreside</t>
        </is>
      </c>
      <c r="M2" s="2">
        <f>HYPERLINK("https://tychesoftware.atlassian.net/browse/GTA-6352", "Go to")</f>
        <v/>
      </c>
    </row>
    <row r="3">
      <c r="A3" t="n">
        <v>49</v>
      </c>
      <c r="B3" t="inlineStr">
        <is>
          <t>The Exchange</t>
        </is>
      </c>
      <c r="C3" t="inlineStr">
        <is>
          <t>GTA-8746</t>
        </is>
      </c>
      <c r="D3" t="inlineStr">
        <is>
          <t>In Progress</t>
        </is>
      </c>
      <c r="E3" t="inlineStr">
        <is>
          <t>Blocker</t>
        </is>
      </c>
      <c r="F3" t="inlineStr"/>
      <c r="G3" t="inlineStr">
        <is>
          <t>Claude Speed</t>
        </is>
      </c>
      <c r="H3" t="inlineStr">
        <is>
          <t>Catalina</t>
        </is>
      </c>
      <c r="I3" s="1" t="n">
        <v>45883.25486111111</v>
      </c>
      <c r="J3" t="n">
        <v>139</v>
      </c>
      <c r="K3" t="inlineStr">
        <is>
          <t xml:space="preserve"> </t>
        </is>
      </c>
      <c r="L3" t="inlineStr">
        <is>
          <t>Shoreside</t>
        </is>
      </c>
      <c r="M3" s="2">
        <f>HYPERLINK("https://tychesoftware.atlassian.net/browse/GTA-8746",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0FF00"/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61</v>
      </c>
      <c r="B2" t="inlineStr">
        <is>
          <t>The Chase</t>
        </is>
      </c>
      <c r="C2" t="inlineStr">
        <is>
          <t>GTA-3190</t>
        </is>
      </c>
      <c r="D2" t="inlineStr">
        <is>
          <t>Closed</t>
        </is>
      </c>
      <c r="E2" t="inlineStr">
        <is>
          <t>Medium</t>
        </is>
      </c>
      <c r="F2" t="inlineStr">
        <is>
          <t>Done</t>
        </is>
      </c>
      <c r="G2" t="inlineStr">
        <is>
          <t>Tommy Vercetti</t>
        </is>
      </c>
      <c r="H2" t="inlineStr">
        <is>
          <t>Diaz</t>
        </is>
      </c>
      <c r="I2" s="1" t="n">
        <v>45979.13402777778</v>
      </c>
      <c r="J2" t="n">
        <v>43</v>
      </c>
      <c r="K2" s="1" t="n">
        <v>46004.99930555555</v>
      </c>
      <c r="L2" t="inlineStr">
        <is>
          <t>Starfish</t>
        </is>
      </c>
      <c r="M2" s="2">
        <f>HYPERLINK("https://tychesoftware.atlassian.net/browse/GTA-3190", "Go to")</f>
        <v/>
      </c>
    </row>
    <row r="3">
      <c r="A3" t="n">
        <v>62</v>
      </c>
      <c r="B3" t="inlineStr">
        <is>
          <t>Phnom Penh '86</t>
        </is>
      </c>
      <c r="C3" t="inlineStr">
        <is>
          <t>GTA-8642</t>
        </is>
      </c>
      <c r="D3" t="inlineStr">
        <is>
          <t>In Progress</t>
        </is>
      </c>
      <c r="E3" t="inlineStr">
        <is>
          <t>Medium</t>
        </is>
      </c>
      <c r="F3" t="inlineStr"/>
      <c r="G3" t="inlineStr">
        <is>
          <t>Tommy Vercetti</t>
        </is>
      </c>
      <c r="H3" t="inlineStr">
        <is>
          <t>Diaz</t>
        </is>
      </c>
      <c r="I3" s="1" t="n">
        <v>45858.57569444444</v>
      </c>
      <c r="J3" t="n">
        <v>163</v>
      </c>
      <c r="K3" t="inlineStr">
        <is>
          <t xml:space="preserve"> </t>
        </is>
      </c>
      <c r="L3" t="inlineStr">
        <is>
          <t>Starfish</t>
        </is>
      </c>
      <c r="M3" s="2">
        <f>HYPERLINK("https://tychesoftware.atlassian.net/browse/GTA-8642", "Go to")</f>
        <v/>
      </c>
    </row>
    <row r="4">
      <c r="A4" t="n">
        <v>63</v>
      </c>
      <c r="B4" t="inlineStr">
        <is>
          <t>The Fastest Boat</t>
        </is>
      </c>
      <c r="C4" t="inlineStr">
        <is>
          <t>GTA-4507</t>
        </is>
      </c>
      <c r="D4" t="inlineStr">
        <is>
          <t>Validation</t>
        </is>
      </c>
      <c r="E4" t="inlineStr">
        <is>
          <t>Blocker</t>
        </is>
      </c>
      <c r="F4" t="inlineStr"/>
      <c r="G4" t="inlineStr">
        <is>
          <t>Tommy Vercetti</t>
        </is>
      </c>
      <c r="H4" t="inlineStr">
        <is>
          <t>Diaz</t>
        </is>
      </c>
      <c r="I4" s="1" t="n">
        <v>45986.86388888889</v>
      </c>
      <c r="J4" t="n">
        <v>35</v>
      </c>
      <c r="K4" t="inlineStr">
        <is>
          <t xml:space="preserve"> </t>
        </is>
      </c>
      <c r="L4" t="inlineStr">
        <is>
          <t>Starfish</t>
        </is>
      </c>
      <c r="M4" s="2">
        <f>HYPERLINK("https://tychesoftware.atlassian.net/browse/GTA-4507", "Go to")</f>
        <v/>
      </c>
    </row>
    <row r="5">
      <c r="A5" t="n">
        <v>64</v>
      </c>
      <c r="B5" t="inlineStr">
        <is>
          <t>Supply &amp; Demand</t>
        </is>
      </c>
      <c r="C5" t="inlineStr">
        <is>
          <t>GTA-1968</t>
        </is>
      </c>
      <c r="D5" t="inlineStr">
        <is>
          <t>Closed</t>
        </is>
      </c>
      <c r="E5" t="inlineStr">
        <is>
          <t>High</t>
        </is>
      </c>
      <c r="F5" t="inlineStr">
        <is>
          <t>Done</t>
        </is>
      </c>
      <c r="G5" t="inlineStr">
        <is>
          <t>Tommy Vercetti</t>
        </is>
      </c>
      <c r="H5" t="inlineStr">
        <is>
          <t>Diaz</t>
        </is>
      </c>
      <c r="I5" s="1" t="n">
        <v>45897.33194444444</v>
      </c>
      <c r="J5" t="n">
        <v>125</v>
      </c>
      <c r="K5" s="1" t="n">
        <v>45907.99930555555</v>
      </c>
      <c r="L5" t="inlineStr">
        <is>
          <t>Starfish</t>
        </is>
      </c>
      <c r="M5" s="2">
        <f>HYPERLINK("https://tychesoftware.atlassian.net/browse/GTA-1968", "Go to")</f>
        <v/>
      </c>
    </row>
    <row r="6">
      <c r="A6" t="n">
        <v>66</v>
      </c>
      <c r="B6" t="inlineStr">
        <is>
          <t>Rub Out</t>
        </is>
      </c>
      <c r="C6" t="inlineStr">
        <is>
          <t>GTA-3810</t>
        </is>
      </c>
      <c r="D6" t="inlineStr">
        <is>
          <t>Validation</t>
        </is>
      </c>
      <c r="E6" t="inlineStr">
        <is>
          <t>Medium</t>
        </is>
      </c>
      <c r="F6" t="inlineStr"/>
      <c r="G6" t="inlineStr">
        <is>
          <t>Tommy Vercetti</t>
        </is>
      </c>
      <c r="H6" t="inlineStr">
        <is>
          <t>Tommy</t>
        </is>
      </c>
      <c r="I6" s="1" t="n">
        <v>45914.66597222222</v>
      </c>
      <c r="J6" t="n">
        <v>107</v>
      </c>
      <c r="K6" t="inlineStr">
        <is>
          <t xml:space="preserve"> </t>
        </is>
      </c>
      <c r="L6" t="inlineStr">
        <is>
          <t>Starfish</t>
        </is>
      </c>
      <c r="M6" s="2">
        <f>HYPERLINK("https://tychesoftware.atlassian.net/browse/GTA-3810", "Go to")</f>
        <v/>
      </c>
    </row>
    <row r="7">
      <c r="A7" t="n">
        <v>67</v>
      </c>
      <c r="B7" t="inlineStr">
        <is>
          <t>Shakedown</t>
        </is>
      </c>
      <c r="C7" t="inlineStr">
        <is>
          <t>GTA-7059</t>
        </is>
      </c>
      <c r="D7" t="inlineStr">
        <is>
          <t>In Progress</t>
        </is>
      </c>
      <c r="E7" t="inlineStr">
        <is>
          <t>Medium</t>
        </is>
      </c>
      <c r="F7" t="inlineStr"/>
      <c r="G7" t="inlineStr">
        <is>
          <t>Tommy Vercetti</t>
        </is>
      </c>
      <c r="H7" t="inlineStr">
        <is>
          <t>Tommy</t>
        </is>
      </c>
      <c r="I7" s="1" t="n">
        <v>45911.08680555555</v>
      </c>
      <c r="J7" t="n">
        <v>111</v>
      </c>
      <c r="K7" t="inlineStr">
        <is>
          <t xml:space="preserve"> </t>
        </is>
      </c>
      <c r="L7" t="inlineStr">
        <is>
          <t>Starfish</t>
        </is>
      </c>
      <c r="M7" s="2">
        <f>HYPERLINK("https://tychesoftware.atlassian.net/browse/GTA-7059", "Go to")</f>
        <v/>
      </c>
    </row>
    <row r="8">
      <c r="A8" t="n">
        <v>68</v>
      </c>
      <c r="B8" t="inlineStr">
        <is>
          <t>Bar Brawl</t>
        </is>
      </c>
      <c r="C8" t="inlineStr">
        <is>
          <t>GTA-2486</t>
        </is>
      </c>
      <c r="D8" t="inlineStr">
        <is>
          <t>Closed</t>
        </is>
      </c>
      <c r="E8" t="inlineStr">
        <is>
          <t>Blocker</t>
        </is>
      </c>
      <c r="F8" t="inlineStr">
        <is>
          <t>Done</t>
        </is>
      </c>
      <c r="G8" t="inlineStr">
        <is>
          <t>Tommy Vercetti</t>
        </is>
      </c>
      <c r="H8" t="inlineStr">
        <is>
          <t>Tommy</t>
        </is>
      </c>
      <c r="I8" s="1" t="n">
        <v>45913.81666666667</v>
      </c>
      <c r="J8" t="n">
        <v>108</v>
      </c>
      <c r="K8" s="1" t="n">
        <v>46011.99930555555</v>
      </c>
      <c r="L8" t="inlineStr">
        <is>
          <t>Starfish</t>
        </is>
      </c>
      <c r="M8" s="2">
        <f>HYPERLINK("https://tychesoftware.atlassian.net/browse/GTA-2486", "Go to")</f>
        <v/>
      </c>
    </row>
    <row r="9">
      <c r="A9" t="n">
        <v>69</v>
      </c>
      <c r="B9" t="inlineStr">
        <is>
          <t>Cop Land</t>
        </is>
      </c>
      <c r="C9" t="inlineStr">
        <is>
          <t>GTA-6391</t>
        </is>
      </c>
      <c r="D9" t="inlineStr">
        <is>
          <t>To Do</t>
        </is>
      </c>
      <c r="E9" t="inlineStr">
        <is>
          <t>High</t>
        </is>
      </c>
      <c r="F9" t="inlineStr"/>
      <c r="G9" t="inlineStr">
        <is>
          <t>Tommy Vercetti</t>
        </is>
      </c>
      <c r="H9" t="inlineStr">
        <is>
          <t>Tommy</t>
        </is>
      </c>
      <c r="I9" s="1" t="n">
        <v>45857.44444444445</v>
      </c>
      <c r="J9" t="n">
        <v>165</v>
      </c>
      <c r="K9" t="inlineStr">
        <is>
          <t xml:space="preserve"> </t>
        </is>
      </c>
      <c r="L9" t="inlineStr">
        <is>
          <t>Starfish</t>
        </is>
      </c>
      <c r="M9" s="2">
        <f>HYPERLINK("https://tychesoftware.atlassian.net/browse/GTA-6391", "Go to")</f>
        <v/>
      </c>
    </row>
    <row r="10">
      <c r="A10" t="n">
        <v>74</v>
      </c>
      <c r="B10" t="inlineStr">
        <is>
          <t>Keep Your Friends Close...</t>
        </is>
      </c>
      <c r="C10" t="inlineStr">
        <is>
          <t>GTA-9784</t>
        </is>
      </c>
      <c r="D10" t="inlineStr">
        <is>
          <t>Validation</t>
        </is>
      </c>
      <c r="E10" t="inlineStr">
        <is>
          <t>Medium</t>
        </is>
      </c>
      <c r="F10" t="inlineStr"/>
      <c r="G10" t="inlineStr">
        <is>
          <t>Tommy Vercetti</t>
        </is>
      </c>
      <c r="H10" t="inlineStr">
        <is>
          <t>Tommy</t>
        </is>
      </c>
      <c r="I10" s="1" t="n">
        <v>45926.43680555555</v>
      </c>
      <c r="J10" t="n">
        <v>96</v>
      </c>
      <c r="K10" t="inlineStr">
        <is>
          <t xml:space="preserve"> </t>
        </is>
      </c>
      <c r="L10" t="inlineStr">
        <is>
          <t>Starfish</t>
        </is>
      </c>
      <c r="M10" s="2">
        <f>HYPERLINK("https://tychesoftware.atlassian.net/browse/GTA-9784",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0FF00"/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3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19" customWidth="1" min="8" max="8"/>
    <col width="19" customWidth="1" min="9" max="9"/>
    <col width="11" customWidth="1" min="10" max="10"/>
    <col width="20" customWidth="1" min="11" max="11"/>
    <col width="20" customWidth="1" min="12" max="12"/>
    <col width="11" customWidth="1" min="13" max="13"/>
  </cols>
  <sheetData>
    <row r="1">
      <c r="A1" t="inlineStr">
        <is>
          <t>Entry</t>
        </is>
      </c>
      <c r="B1" t="inlineStr">
        <is>
          <t>Ticket Name</t>
        </is>
      </c>
      <c r="C1" t="inlineStr">
        <is>
          <t>Issue Key</t>
        </is>
      </c>
      <c r="D1" t="inlineStr">
        <is>
          <t>Status</t>
        </is>
      </c>
      <c r="E1" t="inlineStr">
        <is>
          <t>Priority</t>
        </is>
      </c>
      <c r="F1" t="inlineStr">
        <is>
          <t>Resolution</t>
        </is>
      </c>
      <c r="G1" t="inlineStr">
        <is>
          <t>Assignee</t>
        </is>
      </c>
      <c r="H1" t="inlineStr">
        <is>
          <t>Reporter</t>
        </is>
      </c>
      <c r="I1" t="inlineStr">
        <is>
          <t>Created</t>
        </is>
      </c>
      <c r="J1" t="inlineStr">
        <is>
          <t>Age</t>
        </is>
      </c>
      <c r="K1" t="inlineStr">
        <is>
          <t>Resolved</t>
        </is>
      </c>
      <c r="L1" t="inlineStr">
        <is>
          <t>Client</t>
        </is>
      </c>
      <c r="M1" t="inlineStr">
        <is>
          <t>Link</t>
        </is>
      </c>
    </row>
    <row r="2">
      <c r="A2" t="n">
        <v>22</v>
      </c>
      <c r="B2" t="inlineStr">
        <is>
          <t>Under Surveillance</t>
        </is>
      </c>
      <c r="C2" t="inlineStr">
        <is>
          <t>GTA-0926</t>
        </is>
      </c>
      <c r="D2" t="inlineStr">
        <is>
          <t>Validation</t>
        </is>
      </c>
      <c r="E2" t="inlineStr">
        <is>
          <t>High</t>
        </is>
      </c>
      <c r="F2" t="inlineStr"/>
      <c r="G2" t="inlineStr">
        <is>
          <t>Claude Speed</t>
        </is>
      </c>
      <c r="H2" t="inlineStr">
        <is>
          <t>Asuka</t>
        </is>
      </c>
      <c r="I2" s="1" t="n">
        <v>45919.95069444444</v>
      </c>
      <c r="J2" t="n">
        <v>102</v>
      </c>
      <c r="K2" t="inlineStr">
        <is>
          <t xml:space="preserve"> </t>
        </is>
      </c>
      <c r="L2" t="inlineStr">
        <is>
          <t>Staunton</t>
        </is>
      </c>
      <c r="M2" s="2">
        <f>HYPERLINK("https://tychesoftware.atlassian.net/browse/GTA-0926", "Go to")</f>
        <v/>
      </c>
    </row>
    <row r="3">
      <c r="A3" t="n">
        <v>23</v>
      </c>
      <c r="B3" t="inlineStr">
        <is>
          <t>Paparazzi Purge</t>
        </is>
      </c>
      <c r="C3" t="inlineStr">
        <is>
          <t>GTA-8574</t>
        </is>
      </c>
      <c r="D3" t="inlineStr">
        <is>
          <t>To Do</t>
        </is>
      </c>
      <c r="E3" t="inlineStr">
        <is>
          <t>Blocker</t>
        </is>
      </c>
      <c r="F3" t="inlineStr"/>
      <c r="G3" t="inlineStr">
        <is>
          <t>Claude Speed</t>
        </is>
      </c>
      <c r="H3" t="inlineStr">
        <is>
          <t>Asuka</t>
        </is>
      </c>
      <c r="I3" s="1" t="n">
        <v>45867.74652777778</v>
      </c>
      <c r="J3" t="n">
        <v>154</v>
      </c>
      <c r="K3" t="inlineStr">
        <is>
          <t xml:space="preserve"> </t>
        </is>
      </c>
      <c r="L3" t="inlineStr">
        <is>
          <t>Staunton</t>
        </is>
      </c>
      <c r="M3" s="2">
        <f>HYPERLINK("https://tychesoftware.atlassian.net/browse/GTA-8574", "Go to")</f>
        <v/>
      </c>
    </row>
    <row r="4">
      <c r="A4" t="n">
        <v>24</v>
      </c>
      <c r="B4" t="inlineStr">
        <is>
          <t>Payday for Ray</t>
        </is>
      </c>
      <c r="C4" t="inlineStr">
        <is>
          <t>GTA-4163</t>
        </is>
      </c>
      <c r="D4" t="inlineStr">
        <is>
          <t>In Progress</t>
        </is>
      </c>
      <c r="E4" t="inlineStr">
        <is>
          <t>High</t>
        </is>
      </c>
      <c r="F4" t="inlineStr"/>
      <c r="G4" t="inlineStr">
        <is>
          <t>Claude Speed</t>
        </is>
      </c>
      <c r="H4" t="inlineStr">
        <is>
          <t>Asuka</t>
        </is>
      </c>
      <c r="I4" s="1" t="n">
        <v>45947.00833333333</v>
      </c>
      <c r="J4" t="n">
        <v>75</v>
      </c>
      <c r="K4" t="inlineStr">
        <is>
          <t xml:space="preserve"> </t>
        </is>
      </c>
      <c r="L4" t="inlineStr">
        <is>
          <t>Staunton</t>
        </is>
      </c>
      <c r="M4" s="2">
        <f>HYPERLINK("https://tychesoftware.atlassian.net/browse/GTA-4163", "Go to")</f>
        <v/>
      </c>
    </row>
    <row r="5">
      <c r="A5" t="n">
        <v>25</v>
      </c>
      <c r="B5" t="inlineStr">
        <is>
          <t>Two-Faced Tanner</t>
        </is>
      </c>
      <c r="C5" t="inlineStr">
        <is>
          <t>GTA-2759</t>
        </is>
      </c>
      <c r="D5" t="inlineStr">
        <is>
          <t>Closed</t>
        </is>
      </c>
      <c r="E5" t="inlineStr">
        <is>
          <t>Medium</t>
        </is>
      </c>
      <c r="F5" t="inlineStr">
        <is>
          <t>Done</t>
        </is>
      </c>
      <c r="G5" t="inlineStr">
        <is>
          <t>Claude Speed</t>
        </is>
      </c>
      <c r="H5" t="inlineStr">
        <is>
          <t>Asuka</t>
        </is>
      </c>
      <c r="I5" s="1" t="n">
        <v>45967.37569444445</v>
      </c>
      <c r="J5" t="n">
        <v>55</v>
      </c>
      <c r="K5" s="1" t="n">
        <v>45968.99930555555</v>
      </c>
      <c r="L5" t="inlineStr">
        <is>
          <t>Staunton</t>
        </is>
      </c>
      <c r="M5" s="2">
        <f>HYPERLINK("https://tychesoftware.atlassian.net/browse/GTA-2759", "Go to")</f>
        <v/>
      </c>
    </row>
    <row r="6">
      <c r="A6" t="n">
        <v>26</v>
      </c>
      <c r="B6" t="inlineStr">
        <is>
          <t>Kanbu Bust-Out</t>
        </is>
      </c>
      <c r="C6" t="inlineStr">
        <is>
          <t>GTA-9038</t>
        </is>
      </c>
      <c r="D6" t="inlineStr">
        <is>
          <t>In Progress</t>
        </is>
      </c>
      <c r="E6" t="inlineStr">
        <is>
          <t>Blocker</t>
        </is>
      </c>
      <c r="F6" t="inlineStr"/>
      <c r="G6" t="inlineStr">
        <is>
          <t>Claude Speed</t>
        </is>
      </c>
      <c r="H6" t="inlineStr">
        <is>
          <t>Kenji</t>
        </is>
      </c>
      <c r="I6" s="1" t="n">
        <v>45988.83055555556</v>
      </c>
      <c r="J6" t="n">
        <v>33</v>
      </c>
      <c r="K6" t="inlineStr">
        <is>
          <t xml:space="preserve"> </t>
        </is>
      </c>
      <c r="L6" t="inlineStr">
        <is>
          <t>Staunton</t>
        </is>
      </c>
      <c r="M6" s="2">
        <f>HYPERLINK("https://tychesoftware.atlassian.net/browse/GTA-9038", "Go to")</f>
        <v/>
      </c>
    </row>
    <row r="7">
      <c r="A7" t="n">
        <v>27</v>
      </c>
      <c r="B7" t="inlineStr">
        <is>
          <t>Grand Theft Aero</t>
        </is>
      </c>
      <c r="C7" t="inlineStr">
        <is>
          <t>GTA-1407</t>
        </is>
      </c>
      <c r="D7" t="inlineStr">
        <is>
          <t>Closed</t>
        </is>
      </c>
      <c r="E7" t="inlineStr">
        <is>
          <t>Medium</t>
        </is>
      </c>
      <c r="F7" t="inlineStr">
        <is>
          <t>Done</t>
        </is>
      </c>
      <c r="G7" t="inlineStr">
        <is>
          <t>Claude Speed</t>
        </is>
      </c>
      <c r="H7" t="inlineStr">
        <is>
          <t>Donald</t>
        </is>
      </c>
      <c r="I7" s="1" t="n">
        <v>45975.42708333334</v>
      </c>
      <c r="J7" t="n">
        <v>47</v>
      </c>
      <c r="K7" s="1" t="n">
        <v>46070.99930555555</v>
      </c>
      <c r="L7" t="inlineStr">
        <is>
          <t>Staunton</t>
        </is>
      </c>
      <c r="M7" s="2">
        <f>HYPERLINK("https://tychesoftware.atlassian.net/browse/GTA-1407", "Go to")</f>
        <v/>
      </c>
    </row>
    <row r="8">
      <c r="A8" t="n">
        <v>28</v>
      </c>
      <c r="B8" t="inlineStr">
        <is>
          <t>Escort Service</t>
        </is>
      </c>
      <c r="C8" t="inlineStr">
        <is>
          <t>GTA-7680</t>
        </is>
      </c>
      <c r="D8" t="inlineStr">
        <is>
          <t>Validation</t>
        </is>
      </c>
      <c r="E8" t="inlineStr">
        <is>
          <t>Medium</t>
        </is>
      </c>
      <c r="F8" t="inlineStr"/>
      <c r="G8" t="inlineStr">
        <is>
          <t>Claude Speed</t>
        </is>
      </c>
      <c r="H8" t="inlineStr">
        <is>
          <t>Donald</t>
        </is>
      </c>
      <c r="I8" s="1" t="n">
        <v>45851.48541666667</v>
      </c>
      <c r="J8" t="n">
        <v>171</v>
      </c>
      <c r="K8" t="inlineStr">
        <is>
          <t xml:space="preserve"> </t>
        </is>
      </c>
      <c r="L8" t="inlineStr">
        <is>
          <t>Staunton</t>
        </is>
      </c>
      <c r="M8" s="2">
        <f>HYPERLINK("https://tychesoftware.atlassian.net/browse/GTA-7680", "Go to")</f>
        <v/>
      </c>
    </row>
    <row r="9">
      <c r="A9" t="n">
        <v>29</v>
      </c>
      <c r="B9" t="inlineStr">
        <is>
          <t>Decoy</t>
        </is>
      </c>
      <c r="C9" t="inlineStr">
        <is>
          <t>GTA-5521</t>
        </is>
      </c>
      <c r="D9" t="inlineStr">
        <is>
          <t>Closed</t>
        </is>
      </c>
      <c r="E9" t="inlineStr">
        <is>
          <t>Blocker</t>
        </is>
      </c>
      <c r="F9" t="inlineStr">
        <is>
          <t>Done</t>
        </is>
      </c>
      <c r="G9" t="inlineStr">
        <is>
          <t>Claude Speed</t>
        </is>
      </c>
      <c r="H9" t="inlineStr">
        <is>
          <t>Donald</t>
        </is>
      </c>
      <c r="I9" s="1" t="n">
        <v>45971.2625</v>
      </c>
      <c r="J9" t="n">
        <v>51</v>
      </c>
      <c r="K9" s="1" t="n">
        <v>45972.99930555555</v>
      </c>
      <c r="L9" t="inlineStr">
        <is>
          <t>Staunton</t>
        </is>
      </c>
      <c r="M9" s="2">
        <f>HYPERLINK("https://tychesoftware.atlassian.net/browse/GTA-5521", "Go to")</f>
        <v/>
      </c>
    </row>
    <row r="10">
      <c r="A10" t="n">
        <v>30</v>
      </c>
      <c r="B10" t="inlineStr">
        <is>
          <t>Love's Disappearance</t>
        </is>
      </c>
      <c r="C10" t="inlineStr">
        <is>
          <t>GTA-3946</t>
        </is>
      </c>
      <c r="D10" t="inlineStr">
        <is>
          <t>To Do</t>
        </is>
      </c>
      <c r="E10" t="inlineStr">
        <is>
          <t>High</t>
        </is>
      </c>
      <c r="F10" t="inlineStr"/>
      <c r="G10" t="inlineStr">
        <is>
          <t>Claude Speed</t>
        </is>
      </c>
      <c r="H10" t="inlineStr">
        <is>
          <t>Donald</t>
        </is>
      </c>
      <c r="I10" s="1" t="n">
        <v>45977.89236111111</v>
      </c>
      <c r="J10" t="n">
        <v>44</v>
      </c>
      <c r="K10" t="inlineStr">
        <is>
          <t xml:space="preserve"> </t>
        </is>
      </c>
      <c r="L10" t="inlineStr">
        <is>
          <t>Staunton</t>
        </is>
      </c>
      <c r="M10" s="2">
        <f>HYPERLINK("https://tychesoftware.atlassian.net/browse/GTA-3946", "Go to")</f>
        <v/>
      </c>
    </row>
    <row r="11">
      <c r="A11" t="n">
        <v>31</v>
      </c>
      <c r="B11" t="inlineStr">
        <is>
          <t>Bling-Bling Scramble</t>
        </is>
      </c>
      <c r="C11" t="inlineStr">
        <is>
          <t>GTA-8702</t>
        </is>
      </c>
      <c r="D11" t="inlineStr">
        <is>
          <t>In Progress</t>
        </is>
      </c>
      <c r="E11" t="inlineStr">
        <is>
          <t>Medium</t>
        </is>
      </c>
      <c r="F11" t="inlineStr"/>
      <c r="G11" t="inlineStr">
        <is>
          <t>Claude Speed</t>
        </is>
      </c>
      <c r="H11" t="inlineStr">
        <is>
          <t>Courtney</t>
        </is>
      </c>
      <c r="I11" s="1" t="n">
        <v>45852.79583333333</v>
      </c>
      <c r="J11" t="n">
        <v>169</v>
      </c>
      <c r="K11" t="inlineStr">
        <is>
          <t xml:space="preserve"> </t>
        </is>
      </c>
      <c r="L11" t="inlineStr">
        <is>
          <t>Staunton</t>
        </is>
      </c>
      <c r="M11" s="2">
        <f>HYPERLINK("https://tychesoftware.atlassian.net/browse/GTA-8702", "Go to")</f>
        <v/>
      </c>
    </row>
    <row r="12">
      <c r="A12" t="n">
        <v>32</v>
      </c>
      <c r="B12" t="inlineStr">
        <is>
          <t>Uzi Rider</t>
        </is>
      </c>
      <c r="C12" t="inlineStr">
        <is>
          <t>GTA-6185</t>
        </is>
      </c>
      <c r="D12" t="inlineStr">
        <is>
          <t>To Do</t>
        </is>
      </c>
      <c r="E12" t="inlineStr">
        <is>
          <t>Medium</t>
        </is>
      </c>
      <c r="F12" t="inlineStr"/>
      <c r="G12" t="inlineStr">
        <is>
          <t>Claude Speed</t>
        </is>
      </c>
      <c r="H12" t="inlineStr">
        <is>
          <t>Courtney</t>
        </is>
      </c>
      <c r="I12" s="1" t="n">
        <v>45936.70972222222</v>
      </c>
      <c r="J12" t="n">
        <v>85</v>
      </c>
      <c r="K12" t="inlineStr">
        <is>
          <t xml:space="preserve"> </t>
        </is>
      </c>
      <c r="L12" t="inlineStr">
        <is>
          <t>Staunton</t>
        </is>
      </c>
      <c r="M12" s="2">
        <f>HYPERLINK("https://tychesoftware.atlassian.net/browse/GTA-6185", "Go to")</f>
        <v/>
      </c>
    </row>
    <row r="13">
      <c r="A13" t="n">
        <v>33</v>
      </c>
      <c r="B13" t="inlineStr">
        <is>
          <t>Gangcar Round-Up</t>
        </is>
      </c>
      <c r="C13" t="inlineStr">
        <is>
          <t>GTA-0493</t>
        </is>
      </c>
      <c r="D13" t="inlineStr">
        <is>
          <t>Validation</t>
        </is>
      </c>
      <c r="E13" t="inlineStr">
        <is>
          <t>Medium</t>
        </is>
      </c>
      <c r="F13" t="inlineStr"/>
      <c r="G13" t="inlineStr">
        <is>
          <t>Claude Speed</t>
        </is>
      </c>
      <c r="H13" t="inlineStr">
        <is>
          <t>Courtney</t>
        </is>
      </c>
      <c r="I13" s="1" t="n">
        <v>45982.35416666666</v>
      </c>
      <c r="J13" t="n">
        <v>40</v>
      </c>
      <c r="K13" t="inlineStr">
        <is>
          <t xml:space="preserve"> </t>
        </is>
      </c>
      <c r="L13" t="inlineStr">
        <is>
          <t>Staunton</t>
        </is>
      </c>
      <c r="M13" s="2">
        <f>HYPERLINK("https://tychesoftware.atlassian.net/browse/GTA-0493", "Go to")</f>
        <v/>
      </c>
    </row>
    <row r="14">
      <c r="A14" t="n">
        <v>34</v>
      </c>
      <c r="B14" t="inlineStr">
        <is>
          <t>Kingdom Come</t>
        </is>
      </c>
      <c r="C14" t="inlineStr">
        <is>
          <t>GTA-9261</t>
        </is>
      </c>
      <c r="D14" t="inlineStr">
        <is>
          <t>To Do</t>
        </is>
      </c>
      <c r="E14" t="inlineStr">
        <is>
          <t>Medium</t>
        </is>
      </c>
      <c r="F14" t="inlineStr"/>
      <c r="G14" t="inlineStr">
        <is>
          <t>Claude Speed</t>
        </is>
      </c>
      <c r="H14" t="inlineStr">
        <is>
          <t>Courtney</t>
        </is>
      </c>
      <c r="I14" s="1" t="n">
        <v>45861.63333333333</v>
      </c>
      <c r="J14" t="n">
        <v>160</v>
      </c>
      <c r="K14" t="inlineStr">
        <is>
          <t xml:space="preserve"> </t>
        </is>
      </c>
      <c r="L14" t="inlineStr">
        <is>
          <t>Staunton</t>
        </is>
      </c>
      <c r="M14" s="2">
        <f>HYPERLINK("https://tychesoftware.atlassian.net/browse/GTA-9261", "Go to")</f>
        <v/>
      </c>
    </row>
    <row r="15">
      <c r="A15" t="n">
        <v>35</v>
      </c>
      <c r="B15" t="inlineStr">
        <is>
          <t>Liberator</t>
        </is>
      </c>
      <c r="C15" t="inlineStr">
        <is>
          <t>GTA-3817</t>
        </is>
      </c>
      <c r="D15" t="inlineStr">
        <is>
          <t>Closed</t>
        </is>
      </c>
      <c r="E15" t="inlineStr">
        <is>
          <t>High</t>
        </is>
      </c>
      <c r="F15" t="inlineStr">
        <is>
          <t>Done</t>
        </is>
      </c>
      <c r="G15" t="inlineStr">
        <is>
          <t>Claude Speed</t>
        </is>
      </c>
      <c r="H15" t="inlineStr">
        <is>
          <t>Donald</t>
        </is>
      </c>
      <c r="I15" s="1" t="n">
        <v>45876.86597222222</v>
      </c>
      <c r="J15" t="n">
        <v>145</v>
      </c>
      <c r="K15" s="1" t="n">
        <v>45878.99930555555</v>
      </c>
      <c r="L15" t="inlineStr">
        <is>
          <t>Staunton</t>
        </is>
      </c>
      <c r="M15" s="2">
        <f>HYPERLINK("https://tychesoftware.atlassian.net/browse/GTA-3817", "Go to")</f>
        <v/>
      </c>
    </row>
    <row r="16">
      <c r="A16" t="n">
        <v>36</v>
      </c>
      <c r="B16" t="inlineStr">
        <is>
          <t>Waka-Gashira Wipeout!</t>
        </is>
      </c>
      <c r="C16" t="inlineStr">
        <is>
          <t>GTA-7049</t>
        </is>
      </c>
      <c r="D16" t="inlineStr">
        <is>
          <t>In Progress</t>
        </is>
      </c>
      <c r="E16" t="inlineStr">
        <is>
          <t>Medium</t>
        </is>
      </c>
      <c r="F16" t="inlineStr"/>
      <c r="G16" t="inlineStr">
        <is>
          <t>Claude Speed</t>
        </is>
      </c>
      <c r="H16" t="inlineStr">
        <is>
          <t>Donald</t>
        </is>
      </c>
      <c r="I16" s="1" t="n">
        <v>45938.54444444444</v>
      </c>
      <c r="J16" t="n">
        <v>84</v>
      </c>
      <c r="K16" t="inlineStr">
        <is>
          <t xml:space="preserve"> </t>
        </is>
      </c>
      <c r="L16" t="inlineStr">
        <is>
          <t>Staunton</t>
        </is>
      </c>
      <c r="M16" s="2">
        <f>HYPERLINK("https://tychesoftware.atlassian.net/browse/GTA-7049", "Go to")</f>
        <v/>
      </c>
    </row>
    <row r="17">
      <c r="A17" t="n">
        <v>37</v>
      </c>
      <c r="B17" t="inlineStr">
        <is>
          <t>A Drop in the Ocean</t>
        </is>
      </c>
      <c r="C17" t="inlineStr">
        <is>
          <t>GTA-2158</t>
        </is>
      </c>
      <c r="D17" t="inlineStr">
        <is>
          <t>Closed</t>
        </is>
      </c>
      <c r="E17" t="inlineStr">
        <is>
          <t>Blocker</t>
        </is>
      </c>
      <c r="F17" t="inlineStr">
        <is>
          <t>Done</t>
        </is>
      </c>
      <c r="G17" t="inlineStr">
        <is>
          <t>Claude Speed</t>
        </is>
      </c>
      <c r="H17" t="inlineStr">
        <is>
          <t>Donald</t>
        </is>
      </c>
      <c r="I17" s="1" t="n">
        <v>45881.03541666667</v>
      </c>
      <c r="J17" t="n">
        <v>141</v>
      </c>
      <c r="K17" s="1" t="n">
        <v>45980.99930555555</v>
      </c>
      <c r="L17" t="inlineStr">
        <is>
          <t>Staunton</t>
        </is>
      </c>
      <c r="M17" s="2">
        <f>HYPERLINK("https://tychesoftware.atlassian.net/browse/GTA-2158", "Go to")</f>
        <v/>
      </c>
    </row>
    <row r="18">
      <c r="A18" t="n">
        <v>38</v>
      </c>
      <c r="B18" t="inlineStr">
        <is>
          <t>Bait</t>
        </is>
      </c>
      <c r="C18" t="inlineStr">
        <is>
          <t>GTA-8634</t>
        </is>
      </c>
      <c r="D18" t="inlineStr">
        <is>
          <t>Validation</t>
        </is>
      </c>
      <c r="E18" t="inlineStr">
        <is>
          <t>Blocker</t>
        </is>
      </c>
      <c r="F18" t="inlineStr"/>
      <c r="G18" t="inlineStr">
        <is>
          <t>Claude Speed</t>
        </is>
      </c>
      <c r="H18" t="inlineStr">
        <is>
          <t>Asuka</t>
        </is>
      </c>
      <c r="I18" s="1" t="n">
        <v>45863.90555555555</v>
      </c>
      <c r="J18" t="n">
        <v>158</v>
      </c>
      <c r="K18" t="inlineStr">
        <is>
          <t xml:space="preserve"> </t>
        </is>
      </c>
      <c r="L18" t="inlineStr">
        <is>
          <t>Staunton</t>
        </is>
      </c>
      <c r="M18" s="2">
        <f>HYPERLINK("https://tychesoftware.atlassian.net/browse/GTA-8634", "Go to")</f>
        <v/>
      </c>
    </row>
    <row r="19">
      <c r="A19" t="n">
        <v>39</v>
      </c>
      <c r="B19" t="inlineStr">
        <is>
          <t>Espresso-2-Go!</t>
        </is>
      </c>
      <c r="C19" t="inlineStr">
        <is>
          <t>GTA-5901</t>
        </is>
      </c>
      <c r="D19" t="inlineStr">
        <is>
          <t>To Do</t>
        </is>
      </c>
      <c r="E19" t="inlineStr">
        <is>
          <t>Medium</t>
        </is>
      </c>
      <c r="F19" t="inlineStr"/>
      <c r="G19" t="inlineStr">
        <is>
          <t>Claude Speed</t>
        </is>
      </c>
      <c r="H19" t="inlineStr">
        <is>
          <t>Asuka</t>
        </is>
      </c>
      <c r="I19" s="1" t="n">
        <v>45970.62152777778</v>
      </c>
      <c r="J19" t="n">
        <v>51</v>
      </c>
      <c r="K19" t="inlineStr">
        <is>
          <t xml:space="preserve"> </t>
        </is>
      </c>
      <c r="L19" t="inlineStr">
        <is>
          <t>Staunton</t>
        </is>
      </c>
      <c r="M19" s="2">
        <f>HYPERLINK("https://tychesoftware.atlassian.net/browse/GTA-5901", "Go to")</f>
        <v/>
      </c>
    </row>
    <row r="20">
      <c r="A20" t="n">
        <v>40</v>
      </c>
      <c r="B20" t="inlineStr">
        <is>
          <t>S.A.M.</t>
        </is>
      </c>
      <c r="C20" t="inlineStr">
        <is>
          <t>GTA-1479</t>
        </is>
      </c>
      <c r="D20" t="inlineStr">
        <is>
          <t>Closed</t>
        </is>
      </c>
      <c r="E20" t="inlineStr">
        <is>
          <t>Medium</t>
        </is>
      </c>
      <c r="F20" t="inlineStr">
        <is>
          <t>Done</t>
        </is>
      </c>
      <c r="G20" t="inlineStr">
        <is>
          <t>Claude Speed</t>
        </is>
      </c>
      <c r="H20" t="inlineStr">
        <is>
          <t>Asuka</t>
        </is>
      </c>
      <c r="I20" s="1" t="n">
        <v>45929.47430555556</v>
      </c>
      <c r="J20" t="n">
        <v>93</v>
      </c>
      <c r="K20" s="1" t="n">
        <v>45983.99930555555</v>
      </c>
      <c r="L20" t="inlineStr">
        <is>
          <t>Staunton</t>
        </is>
      </c>
      <c r="M20" s="2">
        <f>HYPERLINK("https://tychesoftware.atlassian.net/browse/GTA-1479", "Go to")</f>
        <v/>
      </c>
    </row>
    <row r="21">
      <c r="A21" t="n">
        <v>41</v>
      </c>
      <c r="B21" t="inlineStr">
        <is>
          <t>Plaster Blaster</t>
        </is>
      </c>
      <c r="C21" t="inlineStr">
        <is>
          <t>GTA-6728</t>
        </is>
      </c>
      <c r="D21" t="inlineStr">
        <is>
          <t>In Progress</t>
        </is>
      </c>
      <c r="E21" t="inlineStr">
        <is>
          <t>Blocker</t>
        </is>
      </c>
      <c r="F21" t="inlineStr"/>
      <c r="G21" t="inlineStr">
        <is>
          <t>Claude Speed</t>
        </is>
      </c>
      <c r="H21" t="inlineStr">
        <is>
          <t>Ray</t>
        </is>
      </c>
      <c r="I21" s="1" t="n">
        <v>45865.5</v>
      </c>
      <c r="J21" t="n">
        <v>157</v>
      </c>
      <c r="K21" t="inlineStr">
        <is>
          <t xml:space="preserve"> </t>
        </is>
      </c>
      <c r="L21" t="inlineStr">
        <is>
          <t>Staunton</t>
        </is>
      </c>
      <c r="M21" s="2">
        <f>HYPERLINK("https://tychesoftware.atlassian.net/browse/GTA-6728", "Go to")</f>
        <v/>
      </c>
    </row>
    <row r="22">
      <c r="A22" t="n">
        <v>42</v>
      </c>
      <c r="B22" t="inlineStr">
        <is>
          <t>Marked Man</t>
        </is>
      </c>
      <c r="C22" t="inlineStr">
        <is>
          <t>GTA-3084</t>
        </is>
      </c>
      <c r="D22" t="inlineStr">
        <is>
          <t>Validation</t>
        </is>
      </c>
      <c r="E22" t="inlineStr">
        <is>
          <t>Medium</t>
        </is>
      </c>
      <c r="F22" t="inlineStr"/>
      <c r="G22" t="inlineStr">
        <is>
          <t>Claude Speed</t>
        </is>
      </c>
      <c r="H22" t="inlineStr">
        <is>
          <t>Ray</t>
        </is>
      </c>
      <c r="I22" s="1" t="n">
        <v>45906.92430555556</v>
      </c>
      <c r="J22" t="n">
        <v>115</v>
      </c>
      <c r="K22" t="inlineStr">
        <is>
          <t xml:space="preserve"> </t>
        </is>
      </c>
      <c r="L22" t="inlineStr">
        <is>
          <t>Staunton</t>
        </is>
      </c>
      <c r="M22" s="2">
        <f>HYPERLINK("https://tychesoftware.atlassian.net/browse/GTA-3084", "Go to")</f>
        <v/>
      </c>
    </row>
    <row r="23">
      <c r="A23" t="n">
        <v>43</v>
      </c>
      <c r="B23" t="inlineStr">
        <is>
          <t>Silence the Sneak</t>
        </is>
      </c>
      <c r="C23" t="inlineStr">
        <is>
          <t>GTA-9516</t>
        </is>
      </c>
      <c r="D23" t="inlineStr">
        <is>
          <t>To Do</t>
        </is>
      </c>
      <c r="E23" t="inlineStr">
        <is>
          <t>Medium</t>
        </is>
      </c>
      <c r="F23" t="inlineStr"/>
      <c r="G23" t="inlineStr">
        <is>
          <t>Claude Speed</t>
        </is>
      </c>
      <c r="H23" t="inlineStr">
        <is>
          <t>Ray</t>
        </is>
      </c>
      <c r="I23" s="1" t="n">
        <v>45918.76527777778</v>
      </c>
      <c r="J23" t="n">
        <v>103</v>
      </c>
      <c r="K23" t="inlineStr">
        <is>
          <t xml:space="preserve"> </t>
        </is>
      </c>
      <c r="L23" t="inlineStr">
        <is>
          <t>Staunton</t>
        </is>
      </c>
      <c r="M23" s="2">
        <f>HYPERLINK("https://tychesoftware.atlassian.net/browse/GTA-9516", "Go to")</f>
        <v/>
      </c>
    </row>
    <row r="24">
      <c r="A24" t="n">
        <v>44</v>
      </c>
      <c r="B24" t="inlineStr">
        <is>
          <t>Arms Shortage</t>
        </is>
      </c>
      <c r="C24" t="inlineStr">
        <is>
          <t>GTA-4260</t>
        </is>
      </c>
      <c r="D24" t="inlineStr">
        <is>
          <t>Closed</t>
        </is>
      </c>
      <c r="E24" t="inlineStr">
        <is>
          <t>High</t>
        </is>
      </c>
      <c r="F24" t="inlineStr">
        <is>
          <t>Done</t>
        </is>
      </c>
      <c r="G24" t="inlineStr">
        <is>
          <t>Claude Speed</t>
        </is>
      </c>
      <c r="H24" t="inlineStr">
        <is>
          <t>Ray</t>
        </is>
      </c>
      <c r="I24" s="1" t="n">
        <v>45921.23680555556</v>
      </c>
      <c r="J24" t="n">
        <v>101</v>
      </c>
      <c r="K24" s="1" t="n">
        <v>45987.99930555555</v>
      </c>
      <c r="L24" t="inlineStr">
        <is>
          <t>Staunton</t>
        </is>
      </c>
      <c r="M24" s="2">
        <f>HYPERLINK("https://tychesoftware.atlassian.net/browse/GTA-4260", "Go to")</f>
        <v/>
      </c>
    </row>
    <row r="25">
      <c r="A25" t="n">
        <v>45</v>
      </c>
      <c r="B25" t="inlineStr">
        <is>
          <t>Evidence Dash</t>
        </is>
      </c>
      <c r="C25" t="inlineStr">
        <is>
          <t>GTA-7843</t>
        </is>
      </c>
      <c r="D25" t="inlineStr">
        <is>
          <t>Validation</t>
        </is>
      </c>
      <c r="E25" t="inlineStr">
        <is>
          <t>Medium</t>
        </is>
      </c>
      <c r="F25" t="inlineStr"/>
      <c r="G25" t="inlineStr">
        <is>
          <t>Claude Speed</t>
        </is>
      </c>
      <c r="H25" t="inlineStr">
        <is>
          <t>Ray</t>
        </is>
      </c>
      <c r="I25" s="1" t="n">
        <v>45951.6875</v>
      </c>
      <c r="J25" t="n">
        <v>70</v>
      </c>
      <c r="K25" t="inlineStr">
        <is>
          <t xml:space="preserve"> </t>
        </is>
      </c>
      <c r="L25" t="inlineStr">
        <is>
          <t>Staunton</t>
        </is>
      </c>
      <c r="M25" s="2">
        <f>HYPERLINK("https://tychesoftware.atlassian.net/browse/GTA-7843", "Go to")</f>
        <v/>
      </c>
    </row>
    <row r="26">
      <c r="A26" t="n">
        <v>46</v>
      </c>
      <c r="B26" t="inlineStr">
        <is>
          <t>Gone Fishing</t>
        </is>
      </c>
      <c r="C26" t="inlineStr">
        <is>
          <t>GTA-0197</t>
        </is>
      </c>
      <c r="D26" t="inlineStr">
        <is>
          <t>In Progress</t>
        </is>
      </c>
      <c r="E26" t="inlineStr">
        <is>
          <t>High</t>
        </is>
      </c>
      <c r="F26" t="inlineStr"/>
      <c r="G26" t="inlineStr">
        <is>
          <t>Claude Speed</t>
        </is>
      </c>
      <c r="H26" t="inlineStr">
        <is>
          <t>Ray</t>
        </is>
      </c>
      <c r="I26" s="1" t="n">
        <v>45991.5375</v>
      </c>
      <c r="J26" t="n">
        <v>31</v>
      </c>
      <c r="K26" t="inlineStr">
        <is>
          <t xml:space="preserve"> </t>
        </is>
      </c>
      <c r="L26" t="inlineStr">
        <is>
          <t>Staunton</t>
        </is>
      </c>
      <c r="M26" s="2">
        <f>HYPERLINK("https://tychesoftware.atlassian.net/browse/GTA-0197", "Go to")</f>
        <v/>
      </c>
    </row>
    <row r="27">
      <c r="A27" t="n">
        <v>48</v>
      </c>
      <c r="B27" t="inlineStr">
        <is>
          <t>Smack Down</t>
        </is>
      </c>
      <c r="C27" t="inlineStr">
        <is>
          <t>GTA-2908</t>
        </is>
      </c>
      <c r="D27" t="inlineStr">
        <is>
          <t>To Do</t>
        </is>
      </c>
      <c r="E27" t="inlineStr">
        <is>
          <t>Medium</t>
        </is>
      </c>
      <c r="F27" t="inlineStr"/>
      <c r="G27" t="inlineStr">
        <is>
          <t>Claude Speed</t>
        </is>
      </c>
      <c r="H27" t="inlineStr">
        <is>
          <t>Kenji</t>
        </is>
      </c>
      <c r="I27" s="1" t="n">
        <v>45902.55416666667</v>
      </c>
      <c r="J27" t="n">
        <v>120</v>
      </c>
      <c r="K27" t="inlineStr">
        <is>
          <t xml:space="preserve"> </t>
        </is>
      </c>
      <c r="L27" t="inlineStr">
        <is>
          <t>Staunton</t>
        </is>
      </c>
      <c r="M27" s="2">
        <f>HYPERLINK("https://tychesoftware.atlassian.net/browse/GTA-2908", "Go 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2025-12-31T13:04:35Z</dcterms:created>
  <dcterms:modified xmlns:dcterms="http://purl.org/dc/terms/" xmlns:xsi="http://www.w3.org/2001/XMLSchema-instance" xsi:type="dcterms:W3CDTF">2025-12-31T13:04:35Z</dcterms:modified>
</cp:coreProperties>
</file>